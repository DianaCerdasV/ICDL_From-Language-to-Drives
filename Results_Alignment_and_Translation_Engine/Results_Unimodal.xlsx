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5.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Alignment_arrange_apples" sheetId="1" state="visible" r:id="rId2"/>
    <sheet name="Missions_arrange_apples" sheetId="2" state="visible" r:id="rId3"/>
    <sheet name="Drives_arrange_apples" sheetId="3" state="visible" r:id="rId4"/>
    <sheet name="Alignment_cylinders_in_baskets" sheetId="4" state="visible" r:id="rId5"/>
    <sheet name="Missions_cylinders_in_baskets" sheetId="5" state="visible" r:id="rId6"/>
    <sheet name="Drives_cylinders_in_basket" sheetId="6" state="visible" r:id="rId7"/>
    <sheet name="Alignment_stack_cylinders" sheetId="7" state="visible" r:id="rId8"/>
    <sheet name="Missions_stack_cylinders" sheetId="8" state="visible" r:id="rId9"/>
    <sheet name="Drives_stack_cylinders" sheetId="9" state="visible" r:id="rId10"/>
  </sheets>
  <definedNames>
    <definedName function="false" hidden="false" name="Cilindros___Propósito" vbProcedure="false">#REF!</definedName>
    <definedName function="false" hidden="false" localSheetId="1" name="DatosExternos_1" vbProcedure="false">Missions_arrange_apples!$A$1:$C$19</definedName>
    <definedName function="false" hidden="false" localSheetId="2" name="DatosExternos_1" vbProcedure="false">Drives_arrange_apples!$A$1:$C$82</definedName>
    <definedName function="false" hidden="false" localSheetId="4" name="DatosExternos_1" vbProcedure="false">Missions_cylinders_in_baskets!$A$1:$C$21</definedName>
    <definedName function="false" hidden="false" localSheetId="5" name="DatosExternos_1" vbProcedure="false">Drives_cylinders_in_basket!$A$1:$C$82</definedName>
    <definedName function="false" hidden="false" localSheetId="7" name="DatosExternos_1" vbProcedure="false">Missions_stack_cylinders!$A$1:$B$19</definedName>
    <definedName function="false" hidden="false" localSheetId="8" name="DatosExternos_1" vbProcedure="false">Drives_stack_cylinders!$A$1:$C$77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<sst xmlns="http://schemas.openxmlformats.org/spreadsheetml/2006/main" count="894" uniqueCount="314">
  <si>
    <t xml:space="preserve">Results: SEMANTIC SIMILARITY EXPERIMENT SORTING APPLES BY COLOR</t>
  </si>
  <si>
    <t xml:space="preserve">Ideal purpose: </t>
  </si>
  <si>
    <t xml:space="preserve">The robot should arrange the apples on the table by their color. First, the robot has to grasp the red apple (object2) and place in in the right side of the table (x_position&gt;0.5). After that, the robot has to grasp the green apple (object3) and place it on the left side of the table (x_position&lt;0.5).</t>
  </si>
  <si>
    <t xml:space="preserve">Semantic Similarity</t>
  </si>
  <si>
    <t xml:space="preserve">Bert Score</t>
  </si>
  <si>
    <t xml:space="preserve">Purpose</t>
  </si>
  <si>
    <t xml:space="preserve">Input</t>
  </si>
  <si>
    <t xml:space="preserve">Output with feedback</t>
  </si>
  <si>
    <t xml:space="preserve">Output without feedback</t>
  </si>
  <si>
    <t xml:space="preserve">Input-Ideal</t>
  </si>
  <si>
    <t xml:space="preserve">Output without feedback-Ideal</t>
  </si>
  <si>
    <t xml:space="preserve">Output with feedback-Ideal</t>
  </si>
  <si>
    <t xml:space="preserve">Arrange the apples on the table.</t>
  </si>
  <si>
    <t xml:space="preserve">Thank you for providing additional details. Here is my updated understanding of your instructions:
1. The robot will first identify and grasp the red apple.
2. It will move the red apple to a position anywhere on the right side of the table (x_position between 0.5 and 1).
3. After placing the red apple, the robot will then identify and grasp the green apple.
4. It will move the green apple to a position anywhere on the left side of the table (x_position between 0 and 0.5).
Does this description accurately reflect your intention? If so, please confirm with "Yes, that's what I want." Otherwise, let me know if any further adjustments are needed.
&lt;Final description&gt;
The robot will first identify and grasp the red apple, then move it to a position anywhere on the right side of the table (x_position between 0.5 and 1). After placing the red apple, the robot will identify and grasp the green apple, moving it to a position anywhere on the left side of the table (x_position between 0 and 0.5).</t>
  </si>
  <si>
    <t xml:space="preserve">&lt;Final description&gt;
The purpose for the robot is to arrange the apples on the table by positioning object2 (red apple) and object3 (green apple) at specific locations within the normalized coordinate system defined by [0, 1] for both x_position and y_position.
&lt;Final description&gt;</t>
  </si>
  <si>
    <t xml:space="preserve">Organize all apples by their color.</t>
  </si>
  <si>
    <t xml:space="preserve">Based on your instructions, here's a specific description for the robot's actions to fulfill your purpose:
The robot should first move its hand to the position of the red apple (object2) and grasp it. Once grasped, the robot should then transport the red apple to the right side of the table, ensuring that it is placed within an area designated as the "right side." After placing the red apple down, the robot should release it.
Next, the robot should move its hand to the position of the green apple (object3) and grasp it. The robot should then transport the green apple to the left side of the table, ensuring that it is placed within an area designated as the "left side." After placing the green apple down, the robot should release it.
This sequence ensures that all red apples are on the right side and all green apples are on the left side of the table. Does this description align with your expectations?
&lt;Final description&gt;
The robot will first move its hand to grasp the red apple (object2) and transport it to a designated area on the right side of the table, where it will be placed down and released. Next, the robot will move its hand to grasp the green apple (object3) and transport it to a designated area on the left side of the table, where it will also be placed down and released. This sequence ensures that all red apples are positioned on the right side and all green apples on the left side of the table.</t>
  </si>
  <si>
    <t xml:space="preserve">&lt;Final description&gt;
The purpose for the robot is to organize all apples on the table based on their color. The robot must identify objects labeled as "apple" and then sort them into groups according to their respective colors, which are red and green in this scenario.
&lt;Final description&gt;</t>
  </si>
  <si>
    <t xml:space="preserve">Sort the items on the table based on color.</t>
  </si>
  <si>
    <t xml:space="preserve">&lt;Final description&gt;
The robot should first identify all objects labeled as "apple" and sort them by color. It will begin with red apples, grasping each one individually and placing them anywhere on the right side of the table (x between 0.5 and 1). After completing this task for all red apples, it will proceed with green apples, moving each one to any position on the left side of the table (x between 0 and 0.5). The robot must ensure that apples are placed without overlapping.
&lt;/Final description&gt;</t>
  </si>
  <si>
    <t xml:space="preserve">&lt;Final description&gt;
The purpose for the robot is to sort objects on a table by their color. The robot will identify each object's color using its perception system, which provides normalized values for x and y positions as well as color information. There are three objects: one white button and two apples (one red and one green). The robot must arrange these items in order based on their colors.
&lt;Final description&gt;</t>
  </si>
  <si>
    <t xml:space="preserve">Distribute the apples appropriately.</t>
  </si>
  <si>
    <t xml:space="preserve">&lt;Final description&gt;
The robot should execute the following sequence to distribute the apples as specified: First, move its hand to the position of object2 (the red apple), grasp it, and then transport it to a location in the right area of the table before releasing it. Next, move its hand to the position of object3 (the green apple), grasp it, and transport it to a location in the left area of the table before releasing it.</t>
  </si>
  <si>
    <t xml:space="preserve">&lt;Final description&gt;
The purpose for the robot is to distribute the apples on the table. The robot must identify the objects labeled as "apple" (object2 and object3) based on their labels, colors, and states. Once identified, the robot should position these apple objects in a manner that reflects an appropriate distribution across the table's surface. This involves moving each apple to specific locations determined by their x_position and y_position values within the normalized range of [0, 1]. The robot must ensure that both apples are placed without overlapping or clustering together, utilizing its perception capabilities to achieve this goal.
&lt;Final description&gt;</t>
  </si>
  <si>
    <t xml:space="preserve">Classify the apples into groups.</t>
  </si>
  <si>
    <t xml:space="preserve">&lt;Final description&gt;
The robot will classify the apples by color and place them in general areas on opposite sides of the table. Specifically, it will perform the following actions:
1. **Identify and Grasp the Red Apple**: Move the robotic arm to grasp object2 (the red apple) using its x_position and y_position.
2. **Place the Red Apple on the Right Side of the Table**: Once grasped, move it to any location on the right side of the table designated for red apples.
3. **Release the Red Apple**: Release the red apple at a chosen spot on the right side.
4. **Identify and Grasp the Green Apple**: Move the robotic arm to grasp object3 (the green apple) using its x_position and y_position.
5. **Place the Green Apple on the Left Side of the Table**: Once grasped, move it to any location on the left side of the table designated for green apples.
6. **Release the Green Apple**: Release the green apple at a chosen spot on the left side.
</t>
  </si>
  <si>
    <t xml:space="preserve">&lt;Final description&gt;
The purpose for the robot is to classify the apples on the table into distinct groups based on their characteristics. The robot has access to information about each apple's color, diameter, x-position, and y-position. Specifically, there are two apples: one red and one green, both with a normalized diameter of 0.4. The classification task involves organizing these apples into separate categories according to the available perceptual data.
&lt;Final description&gt;</t>
  </si>
  <si>
    <t xml:space="preserve">Place the apples where they belong.</t>
  </si>
  <si>
    <t xml:space="preserve">&lt;Final description&gt;
The robot should identify and separate the red apple (object2) from the green apple (object3). It will then move the red apple to any position on the right half of the table, where its x-coordinate is greater than 0.5. Simultaneously, it will place the green apple in any location on the left half of the table, where its x-coordinate is less than or equal to 0.5.</t>
  </si>
  <si>
    <t xml:space="preserve">&lt;Final description&gt;
The purpose for the robot is to identify and relocate the red apple (object2) and the green apple (object3) from their current positions on the table to a designated area, which is implied as their "correct" or intended location. The robot must use its perception capabilities to locate these apples based on their labels and colors, then physically move them using its robotic arm while ensuring it grasps each apple correctly before relocation.
&lt;Final description&gt;</t>
  </si>
  <si>
    <t xml:space="preserve">Separate the apples according to their color.</t>
  </si>
  <si>
    <t xml:space="preserve">&lt;Final description&gt;
The robot is tasked with separating two apples based on their colors. It will first move its hand to grasp the red apple (object2) and transport it anywhere along the right side of the table before releasing it. Next, the robot will grasp the green apple (object3), transport it anywhere along the left side of the table, and release it there.</t>
  </si>
  <si>
    <t xml:space="preserve">&lt;Final description&gt;
The purpose for the robot is to separate two objects labeled as "apple" based on their colors. There are three objects present: a white button, a red apple, and a green apple. The task involves identifying the apples by their labels and then distinguishing them according to their respective colors—red and green. Once identified, the robot should ensure that these apples are separated from each other based on their color attributes.
&lt;Final description&gt;</t>
  </si>
  <si>
    <t xml:space="preserve">Ensure the apples are arranged correctly.</t>
  </si>
  <si>
    <t xml:space="preserve">&lt;Final description&gt;
The robot will grasp each apple and then place all red apples (object2) within the x-coordinate range [0.5, 1] on the table. Similarly, it will place all green apples (object3) within the x-coordinate range [0, 0.5]. The y-coordinates for placing these apples can be chosen freely to ensure they fit comfortably without overlapping.</t>
  </si>
  <si>
    <t xml:space="preserve">&lt;Final description&gt;
The purpose for the robot is to ensure that the apples on the table are arranged correctly. The robot must identify the objects labeled as "apple" based on their labels, which include object2 and object3 in this scenario. These apples have specific x and y positions on the table, both normalized between 0 and 1. The robot's task involves manipulating these apples to achieve a correct arrangement, although what constitutes "correctly arranged" is not specified in the input.
&lt;Final description&gt;</t>
  </si>
  <si>
    <t xml:space="preserve">Organize the items by their characteristics.</t>
  </si>
  <si>
    <t xml:space="preserve">&lt;Final description&gt;
The robot will first identify object2 (red apple) and grasp it. It will then transport object2 to any location on the right side of the table and release it there. Next, the robot will locate object3 (green apple), grasp it, move it to any location on the left side of the table, and release it. This ensures that all red apples are placed anywhere on the right side and all green apples are positioned anywhere on the left side of the table.</t>
  </si>
  <si>
    <t xml:space="preserve">&lt;Final description&gt;
The purpose for the robot is to organize objects on a table based on their characteristics. The objects include a white button with a diameter of 0.3, which can be in either pressed (1) or not pressed (0) state; two apples, one red and one green, each with a diameter of 0.4, both always in an unpressed (0) state. The organization involves sorting these objects by their characteristics such as color, label, and state.
&lt;Final description&gt;</t>
  </si>
  <si>
    <t xml:space="preserve">Help me keep the apples organized by color.</t>
  </si>
  <si>
    <t xml:space="preserve">&lt;Final description&gt;
The robot should organize the apples by color as follows: First, it will locate and grasp the red apple (object2). Once grasped, the robot will move its hand to any position on the right side of the table and release the red apple there. Next, the robot will locate and grasp the green apple (object3) and then move its hand to any position on the left side of the table to release it.</t>
  </si>
  <si>
    <t xml:space="preserve">&lt;Final description&gt;
The purpose for the robot is to organize the apples on the table based on their color. There are two apples: one red and one green. The robot needs to identify each apple by its label ("apple") and color (red or green) using the provided perceptions. Once identified, the robot should position these apples in separate designated areas on the table according to their colors, ensuring that all red apples are grouped together and all green apples are grouped together.
&lt;Final description&gt;</t>
  </si>
  <si>
    <t xml:space="preserve">Put the objects in their designated spots.</t>
  </si>
  <si>
    <t xml:space="preserve">&lt;Final description&gt;
The robot will execute the following actions to fulfill the purpose:
1. **Place the Red Apple**: The robot moves its hand to grasp the red apple and then places it anywhere on the right side of the table.
2. **Place the Green Apple**: After placing the red apple, the robot moves its hand to grasp the green apple and then places it anywhere on the left side of the table.
These actions ensure that each apple is positioned according to your specified requirements without any additional constraints regarding their exact placement within the sides of the table.</t>
  </si>
  <si>
    <t xml:space="preserve">&lt;Final description&gt;
The purpose for the robot is to place each object on the table into its designated spot based on specific criteria or predefined locations. The robot must identify and differentiate between the objects using their labels, colors, diameters, and positions. It should then move each object to a particular location that corresponds to these characteristics.
Final description: The purpose for the robot is to place each object in its designated spot by identifying them through their labels, colors, diameters, and positions, and moving them accordingly.
&lt;Final description&gt;</t>
  </si>
  <si>
    <t xml:space="preserve">Group similar apples together on the table.</t>
  </si>
  <si>
    <t xml:space="preserve">&lt;Final description&gt;
The robot should grasp object2 (the red apple) and place it anywhere on the right side of the table. After releasing object2, the robot should then grasp object3 (the green apple) and place it anywhere on the left side of the table. The task is to ensure that all red apples are grouped together on the right side and all green apples are grouped together on the left side, with no specific requirements for proximity to the edges or spacing between them.</t>
  </si>
  <si>
    <t xml:space="preserve">&lt;Final description&gt;
The purpose for the robot is to group similar apples together on the table by identifying objects labeled as "apple" based on their color (red or green) and moving them closer to each other using its robotic arm, while ensuring that it does not disturb any other objects present.
&lt;Final description&gt;</t>
  </si>
  <si>
    <t xml:space="preserve">Make sure the apples are placed in the right areas.</t>
  </si>
  <si>
    <t xml:space="preserve">&lt;Final description&gt;
The robot is tasked with ensuring all red apples are placed on the right side of the table and all green apples on the left side. The task involves identifying each apple by its color: first locating a red apple, moving it to any position where its x-coordinate is greater than 0.5 (right half), then locating a green apple, and placing it in any position where its x-coordinate is less than or equal to 0.5 (left half). The robot must prioritize the placement of red apples before addressing the green ones.</t>
  </si>
  <si>
    <t xml:space="preserve">&lt;Final description&gt;
The purpose for the robot is to ensure that both red and green apples (object2 and object3) are positioned correctly on the table, according to specific criteria or designated areas defined by their x_position and y_position values. The robot must verify these positions using its perception capabilities, which provide normalized coordinates between 0 and 1 for each axis of the table.
&lt;/Final description&gt;</t>
  </si>
  <si>
    <t xml:space="preserve">Keep the apples on the table so sorted by color.</t>
  </si>
  <si>
    <t xml:space="preserve">&lt;Final description&gt;
The robot is tasked with sorting apples by color. It should first move its hand to grasp the red apple and place it anywhere on the right side of the table. After releasing the red apple, the robot should then grasp the green apple and place it anywhere on the left side of the table.</t>
  </si>
  <si>
    <t xml:space="preserve">&lt;Final description&gt;
The purpose for the robot is to ensure that the apples on the table are organized according to their colors. Specifically, it involves positioning the red apple and the green apple in distinct areas based on their respective colors.
&lt;Final description&gt;</t>
  </si>
  <si>
    <t xml:space="preserve">Arrange and place apples based on their type.</t>
  </si>
  <si>
    <t xml:space="preserve">&lt;Final description&gt;
The robot should grasp the red apple and move it to any position within the right half of the table. After releasing the red apple in its new location, the robot should then grasp the green apple and place it anywhere within the left half of the table. This involves using the robotic arm to pick up each apple, navigate across the table, and release them into their respective areas based on color.</t>
  </si>
  <si>
    <t xml:space="preserve">&lt;Final description&gt;
The purpose for the robot is to arrange and place apples on the table based on their type. The robot must identify objects labeled as "apple" among the available items, which include object2 and object3, both of which are apples with a diameter of 0.4. The task involves organizing these apples according to their type, utilizing the robot's perception capabilities to determine their positions (x_position and y_position) on the table.
&lt;Final description&gt;</t>
  </si>
  <si>
    <t xml:space="preserve">Column1</t>
  </si>
  <si>
    <t xml:space="preserve">Column4</t>
  </si>
  <si>
    <t xml:space="preserve">Column5</t>
  </si>
  <si>
    <t xml:space="preserve">Column6</t>
  </si>
  <si>
    <t xml:space="preserve">Column7</t>
  </si>
  <si>
    <t xml:space="preserve">Apples-Missions</t>
  </si>
  <si>
    <t xml:space="preserve">Missions with feedback</t>
  </si>
  <si>
    <t xml:space="preserve">Total proposed missions</t>
  </si>
  <si>
    <t xml:space="preserve">Invalid missions</t>
  </si>
  <si>
    <t xml:space="preserve">Valid missions</t>
  </si>
  <si>
    <t xml:space="preserve">Ideal missions</t>
  </si>
  <si>
    <t xml:space="preserve">Summary</t>
  </si>
  <si>
    <t xml:space="preserve">1</t>
  </si>
  <si>
    <t xml:space="preserve">[['red_apple_in_hand', 0.3], ['red_apple_on_right_side', 0.4], ['green_apple_in_hand', 0.5], ['green_apple_on_left_side', 0.6]]</t>
  </si>
  <si>
    <t xml:space="preserve">Feedback in the alignment</t>
  </si>
  <si>
    <t xml:space="preserve">No feedback in the alignment</t>
  </si>
  <si>
    <t xml:space="preserve">2</t>
  </si>
  <si>
    <t xml:space="preserve">[['object2_in_hand', 0.3], ['object2_on_right_side', 0.4], ['object3_in_hand', 0.5], ['object3_on_left_side', 0.6]]</t>
  </si>
  <si>
    <t xml:space="preserve">Valid iterations</t>
  </si>
  <si>
    <t xml:space="preserve">Invalid iterations</t>
  </si>
  <si>
    <t xml:space="preserve">3</t>
  </si>
  <si>
    <t xml:space="preserve">[['apple_red_in_hand', 0.3], ['red_apples_sorted_right_side', 0.4], ['apple_green_in_hand', 0.35], ['green_apples_sorted_left_side', 0.45]]</t>
  </si>
  <si>
    <t xml:space="preserve">4</t>
  </si>
  <si>
    <t xml:space="preserve">[['object2_in_hand', 0.1], ['object2_on_right_table_area', 0.2], ['object3_in_hand', 0.3], ['object3_on_left_table_area', 0.4]]</t>
  </si>
  <si>
    <t xml:space="preserve">5</t>
  </si>
  <si>
    <t xml:space="preserve">[['red_apple_in_hand', 0.3], ['green_apple_in_hand', 0.4], ['red_apple_on_right_side', 0.5], ['green_apple_on_left_side', 0.6]]</t>
  </si>
  <si>
    <t xml:space="preserve">6</t>
  </si>
  <si>
    <t xml:space="preserve">[['red_apple_in_hand', 0.3], ['green_apple_in_hand', 0.4], ['red_apple_right_half_table', 0.6], ['green_apple_left_half_table', 0.7]]</t>
  </si>
  <si>
    <t xml:space="preserve">7</t>
  </si>
  <si>
    <t xml:space="preserve">[['red_apple_in_hand', 0.4], ['green_apple_in_hand', 0.6], ['red_apple_on_right_side', 0.7], ['green_apple_on_left_side', 1.0]]</t>
  </si>
  <si>
    <t xml:space="preserve">8</t>
  </si>
  <si>
    <t xml:space="preserve">[['apple_in_hand', 0.1], ['red_apple_placed_right_half', 0.3], ['green_apple_placed_left_half', 0.5]]</t>
  </si>
  <si>
    <t xml:space="preserve">9</t>
  </si>
  <si>
    <t xml:space="preserve">[['object2_in_hand', 0.3], ['object2_on_right_side', 0.5], ['object3_in_hand', 0.6], ['object3_on_left_side', 0.8]]</t>
  </si>
  <si>
    <t xml:space="preserve">10</t>
  </si>
  <si>
    <t xml:space="preserve">[['red_apple_in_hand', 0.4], ['green_apple_in_hand', 0.6], ['red_apple_on_right_side', 0.8], ['green_apple_on_left_side', 1.0]]</t>
  </si>
  <si>
    <t xml:space="preserve">11</t>
  </si>
  <si>
    <t xml:space="preserve">[['object2_in_hand', 0.3], ['object2_on_right_side_of_table', 0.5], ['object3_in_hand', 0.6], ['object3_on_left_side_of_table', 0.8]]</t>
  </si>
  <si>
    <t xml:space="preserve">12</t>
  </si>
  <si>
    <t xml:space="preserve">13</t>
  </si>
  <si>
    <t xml:space="preserve">[['red_apple_on_right', 0.6], ['green_apple_on_left', 0.8]]</t>
  </si>
  <si>
    <t xml:space="preserve">14</t>
  </si>
  <si>
    <t xml:space="preserve">15</t>
  </si>
  <si>
    <t xml:space="preserve">[['red_apple_in_hand', 0.3], ['red_apple_right_half_table', 0.5], ['green_apple_in_hand', 0.6], ['green_apple_left_half_table', 0.8]]</t>
  </si>
  <si>
    <t xml:space="preserve">TOTAL</t>
  </si>
  <si>
    <t xml:space="preserve">%</t>
  </si>
  <si>
    <t xml:space="preserve">Missions without feedback</t>
  </si>
  <si>
    <t xml:space="preserve">[['object2_in_target_location', 0.6], ['object3_in_target_location', 0.8]]</t>
  </si>
  <si>
    <t xml:space="preserve">[['red_apple_in_group', 0.6], ['green_apple_in_group', 0.8]]</t>
  </si>
  <si>
    <t xml:space="preserve">[['button_in_hand', 0.3], ['red_apple_in_hand', 0.4], ['green_apple_in_hand', 0.5]]</t>
  </si>
  <si>
    <t xml:space="preserve">[['apple_in_hand', 0.3], ['apple_positioned_on_table', 0.7]]</t>
  </si>
  <si>
    <t xml:space="preserve">[['apple_red_in_group', 0.6], ['apple_green_in_group', 0.8]]</t>
  </si>
  <si>
    <t xml:space="preserve">[['object2_in_hand', 0.3], ['object3_in_hand', 0.4], ['object2_relocated', 0.5], ['object3_relocated', 0.6]]</t>
  </si>
  <si>
    <t xml:space="preserve">[['apple_red_in_hand', 0.3], ['apple_green_in_hand', 0.4], ['red_apple_separated_from_green', 0.5]]</t>
  </si>
  <si>
    <t xml:space="preserve">[['apple_in_hand', 0.3], ['object2_in_correct_position', 0.5], ['object3_in_correct_position', 0.7]]</t>
  </si>
  <si>
    <t xml:space="preserve">[['button_pressed', 0.3], ['apples_sorted_by_color', 0.5], ['objects_organized_on_table', 0.7]]</t>
  </si>
  <si>
    <t xml:space="preserve">[['apple_red_in_designated_area', 0.6], ['apple_green_in_designated_area', 0.8]]</t>
  </si>
  <si>
    <t xml:space="preserve">[['object1_in_designated_spot', 0.9], ['object2_in_designated_spot', 0.8], ['object3_in_designated_spot', 0.7]]</t>
  </si>
  <si>
    <t xml:space="preserve">[['red_apple_in_hand', 0.3], ['green_apple_in_hand', 0.4], ['apples_grouped_together', 0.5]]</t>
  </si>
  <si>
    <t xml:space="preserve">[['object2_in_correct_x_position', 0.3], ['object2_in_correct_y_position', 0.4], ['object3_in_correct_x_position', 0.5], ['object3_in_correct_y_position', 0.6]]</t>
  </si>
  <si>
    <t xml:space="preserve">[['red_apple_in_red_area', 0.3], ['green_apple_in_green_area', 0.4]]</t>
  </si>
  <si>
    <t xml:space="preserve">[['apple_in_hand', 0.3], ['object2_on_table', 0.4], ['object3_on_table', 0.5]]</t>
  </si>
  <si>
    <t xml:space="preserve">Column2</t>
  </si>
  <si>
    <t xml:space="preserve">Column3</t>
  </si>
  <si>
    <t xml:space="preserve">Apples-Drives</t>
  </si>
  <si>
    <t xml:space="preserve">Item</t>
  </si>
  <si>
    <t xml:space="preserve">Result</t>
  </si>
  <si>
    <t xml:space="preserve">Initial drives</t>
  </si>
  <si>
    <t xml:space="preserve">[['max(0, 1 - robot_hand.state) + abs(object2.x_position - robot_hand.x_position) + abs(object2.y_position - robot_hand.y_position)'], ['max(0, 0.5 - object2.x_position)'], ['max(0, 1 - robot_hand.state) + abs(object3.x_position - robot_hand.x_position) + abs(object3.y_position - robot_hand.y_position)'], ['max(0, object3.x_position - 0.5)']]</t>
  </si>
  <si>
    <t xml:space="preserve">Total drive functions</t>
  </si>
  <si>
    <t xml:space="preserve">Invalid drive functions</t>
  </si>
  <si>
    <t xml:space="preserve">Valid drive functions</t>
  </si>
  <si>
    <t xml:space="preserve">[['max(abs(robot_hand.x_position - object2.x_position), abs(robot_hand.y_position - object2.y_position)) + (1 - robot_hand.state)'], ['max(0, 0.5 - object2.x_position)'], ['max(abs(robot_hand.x_position - object3.x_position), abs(robot_hand.y_position - object3.y_position)) + (1 - robot_hand.state)'], ['max(0, object3.x_position - 0.5)']]</t>
  </si>
  <si>
    <t xml:space="preserve">[['max(0, 1 - robot_hand.state * int(object2.label == "apple" and object2.color == "red"))'], ['max(0, (0.5 - object2.x_position) * int(object2.label == "apple" and object2.color == "red"))'], ['max(0, 1 - robot_hand.state * int(object3.label == "apple" and object3.color == "green"))'], ['max(0, (object3.x_position - 0.5) * int(object3.label == "apple" and object3.color == "green"))']]</t>
  </si>
  <si>
    <t xml:space="preserve">[['(1 - robot_hand.state) + (robot_hand.x_position - object2.x_position)**2 + (robot_hand.y_position - object2.y_position)**2'], ['max(0, 0.5 - object2.x_position)'], ['(1 - robot_hand.state) + (robot_hand.x_position - object3.x_position)**2 + (robot_hand.y_position - object3.y_position)**2'], ['max(0, object3.x_position - 0.5)']]</t>
  </si>
  <si>
    <t xml:space="preserve">[['max((object2.x_position - robot_hand.x_position)**2 + (object2.y_position - robot_hand.y_position)**2, 1 - robot_hand.state)'], ['max((object3.x_position - robot_hand.x_position)**2 + (object3.y_position - robot_hand.y_position)**2, 1 - robot_hand.state)'], ['(object2.x_position - 1.0)**2'], ['(object3.x_position - 0.0)**2']]</t>
  </si>
  <si>
    <t xml:space="preserve">[['max(0, 1 - robot_hand.state) + max(0, abs(object2.x_position - robot_hand.x_position) + abs(object2.y_position - robot_hand.y_position)) * (1 - robot_hand.state)'], ['max(0, 1 - robot_hand.state) + max(0, abs(object3.x_position - robot_hand.x_position) + abs(object3.y_position - robot_hand.y_position)) * (1 - robot_hand.state)'], ['max(0, 0.5 - object2.x_position)'], ['max(0, object3.x_position - 0.5)']]</t>
  </si>
  <si>
    <t xml:space="preserve">[['(1 - robot_hand.state) + abs(object2.x_position - robot_hand.x_position) + abs(object2.y_position - robot_hand.y_position)'], ['(1 - robot_hand.state) + abs(object3.x_position - robot_hand.x_position) + abs(object3.y_position - robot_hand.y_position)'], ['(1 - int(object2.x_position &gt; 0.5)) + abs(object2.x_position - max(object2.x_position, 0.5))'], ['(1 - int(object3.x_position &lt; 0.5)) + abs(object3.x_position - min(object3.x_position, 0.5))']]</t>
  </si>
  <si>
    <t xml:space="preserve">[['min(1 - robot_hand.state, 1)'], ['max(0, 0.5 - object2.x_position)'], ['max(0, object3.x_position - 0.5)']]</t>
  </si>
  <si>
    <t xml:space="preserve">[['abs(robot_hand.state - 1) + abs(robot_hand.state * (object2.x_position - robot_hand.x_position)) + abs(robot_hand.state * (object2.y_position - robot_hand.y_position))'], ['max(0, 0.5 - object2.x_position)'], ['abs(robot_hand.state - 1) + abs(robot_hand.state * (object3.x_position - robot_hand.x_position)) + abs(robot_hand.state * (object3.y_position - robot_hand.y_position))'], ['max(0, object3.x_position - 0.5)']]</t>
  </si>
  <si>
    <t xml:space="preserve">[['(1 - robot_hand.state) + abs(object2.x_position - robot_hand.x_position) + abs(object2.y_position - robot_hand.y_position)'], ['(1 - robot_hand.state) + abs(object3.x_position - robot_hand.x_position) + abs(object3.y_position - robot_hand.y_position)'], ['max(0, 0.5 - object2.x_position)'], ['max(0, object3.x_position - 0.5)']]</t>
  </si>
  <si>
    <t xml:space="preserve">[['abs(robot_hand.state - 1) + abs(object2.x_position - robot_hand.x_position) + abs(object2.y_position - robot_hand.y_position)'], ['max(0, 0.5 - object2.x_position)'], ['abs(robot_hand.state - 1) + abs(object3.x_position - robot_hand.x_position) + abs(object3.y_position - robot_hand.y_position)'], ['max(0, object3.x_position - 0.5)']]</t>
  </si>
  <si>
    <t xml:space="preserve">[['abs(robot_hand.state - 1)'], ['(1 - robot_hand.state) * max(0, 0.5 - object2.x_position)'], ['abs(robot_hand.state - 1)'], ['(1 - robot_hand.state) * max(0, object3.x_position - 0.5)']]</t>
  </si>
  <si>
    <t xml:space="preserve">[['max(0, 0.5 - object2.x_position)'], ['max(0, object3.x_position - 0.5)']]</t>
  </si>
  <si>
    <t xml:space="preserve">[['abs(robot_hand.state - 1) + (object2.x_position - robot_hand.x_position)'], ['max(0, 0.5 - object2.x_position)'], ['abs(robot_hand.state - 1) + (object3.x_position - robot_hand.x_position)'], ['max(0, object3.x_position - 0.5)']]</t>
  </si>
  <si>
    <t xml:space="preserve">TOTAL invalid drive functions</t>
  </si>
  <si>
    <t xml:space="preserve">TOTAL valid drive functions</t>
  </si>
  <si>
    <t xml:space="preserve">% valid drive functions</t>
  </si>
  <si>
    <t xml:space="preserve">Results: SEMANTIC SIMILARITY EXPERIMENT CLASSIFY THE CYLINDERS BY COLOR</t>
  </si>
  <si>
    <t xml:space="preserve">The robot must arrange the cylinders by color into baskets. First it has to reach the red cylinder (object2) with its hand, grasp it and pick it up. Then, the robot should move its hand with the red cylinder picked to the green basket (object4) and release it into the basket. After that, the robot should move its hand to the blue cylinder and grasp it. Then, the robot should take the blue cylinder (object3) to the position of the yellow basket (object5) and place the blue cylinder into the yellow basket.</t>
  </si>
  <si>
    <t xml:space="preserve">Arrange the cylinders based on their color.</t>
  </si>
  <si>
    <t xml:space="preserve">&lt;Final description&gt;
The robot will move its hand to the red cylinder's position using its x_position and y_position values, grasp it by changing its state from 0 (not grasped) to 1 (grasped), transport it to the green basket by aligning with the basket's x_position and y_position, and release it by changing its state back to 0 (not grasped). Then, the robot will move its hand to the blue cylinder's position using its x_position and y_position values, grasp it by changing its state from 0 (not grasped) to 1 (grasped), transport it to the yellow basket by aligning with the basket's x_position and y_position, and release it by changing its state back to 0 (not grasped).</t>
  </si>
  <si>
    <t xml:space="preserve">Final description:
The purpose for the robot is to arrange two cylindrical objects on a table according to their colors. The robot must identify the red cylinder (object2) and the blue cylinder (object3) using their respective labels and positions, then move them to specific locations based on their color. This involves perceiving the current x and y coordinates of each cylinder, grasping them with its robotic arm, and placing them in a designated order or location that reflects their color differentiation. The robot's task is completed when both cylinders are positioned according to this arrangement criterion.</t>
  </si>
  <si>
    <t xml:space="preserve">Classify all items on the table into their correct containers.</t>
  </si>
  <si>
    <t xml:space="preserve">&lt;Final description&gt;
The robot is tasked with sorting two specific cylinders into designated baskets. First, it must move its hand to the position of the red cylinder (object2), grasp it, and transport it to the green basket (object4). After releasing the red cylinder in the green basket, the robot should then locate the blue cylinder (object3), pick it up, and place it into the yellow basket (object5).</t>
  </si>
  <si>
    <t xml:space="preserve">Final description:
The purpose for the robot is to classify objects on a table by placing them into appropriate containers based on their labels. The robot must identify each object's label, determine its corresponding container (basket), and move it there using its robotic arm. Specifically, the robot should place any "button" labeled object into one of the baskets, while ensuring that other objects like cylinders or those with different labels are not placed in these containers. The robot uses its sensors to perceive the position and state of each object on the table, and it must navigate its hand to grasp and relocate the button to a basket without disturbing other items.</t>
  </si>
  <si>
    <t xml:space="preserve">Organize objects on the table by color.</t>
  </si>
  <si>
    <t xml:space="preserve">&lt;Final description&gt;
The robot will organize the objects on the table as follows: First, it moves its hand to the position of the red cylinder (object2) and grasps it by closing its gripper, changing `robot_hand.state` from 0 to 1. Then, it transports the red cylinder to the green basket (object4), releasing it into the basket by opening its gripper, which changes `robot_hand.state` back to 0. Next, the robot moves its hand to the blue cylinder (object3) and grasps it in a similar manner. It then transports the blue cylinder to the yellow basket (object5) and releases it there by opening its gripper, again changing `robot_hand.state` to 0.</t>
  </si>
  <si>
    <t xml:space="preserve">Final description:
The purpose for the robot is to organize objects on a table based on their colors. The robot must identify each object's color using its perception capabilities, which include recognizing white, red, blue, green, and yellow. Once identified, the robot should arrange these objects in distinct groups according to their respective colors. This involves moving the robotic arm to grasp each object and reposition it so that all objects of the same color are grouped together on the table. The task requires the robot to utilize its sensors to determine the current positions of the objects and plan movements accordingly, ensuring that each object is placed in proximity to others sharing the same color attribute.</t>
  </si>
  <si>
    <t xml:space="preserve">Put each cylinder where it belongs.</t>
  </si>
  <si>
    <t xml:space="preserve">&lt;Final description&gt;
The robot must perform the following actions: 
1. Move its hand to the position of the red cylinder.
2. Grasp the red cylinder by closing its hand around it.
3. Lift the red cylinder from the table and move its hand to the green basket's location.
4. Release the red cylinder into the green basket, ensuring it is placed inside.
5. Return its hand to a neutral position after placing the red cylinder.
6. Move its hand to the position of the blue cylinder.
7. Grasp the blue cylinder by closing its hand around it.
8. Lift the blue cylinder from the table and move its hand to the yellow basket's location.
9. Release the blue cylinder into the yellow basket, ensuring it is placed inside.
10. Return its hand to a neutral position after placing the blue cylinder.
These actions ensure that each cylinder is correctly placed in its designated basket as per your instructions.</t>
  </si>
  <si>
    <t xml:space="preserve">Final description:
The purpose for the robot is to identify and place each red or blue cylinder (object2 and object3) into one of the green or yellow baskets (object4 or object5). The cylinders are characterized by their color, either red or blue, while the baskets are identified by their green or yellow colors. The task involves using the robot's perception capabilities to locate these objects on the table based on their x and y positions, ensuring that each cylinder is correctly placed into a basket without any additional constraints specified regarding which specific basket should receive which cylinder.</t>
  </si>
  <si>
    <t xml:space="preserve">Sort all the pieces into the corresponding baskets.</t>
  </si>
  <si>
    <t xml:space="preserve">&lt;Final description&gt;
The robot will first grasp object2 (the red cylinder) and then move it to object4 (the green basket), where it will release the object. Next, the robot will grasp object3 (the blue cylinder) and move it to object5 (the yellow basket), releasing it there as well.
&lt;Final description&gt;</t>
  </si>
  <si>
    <t xml:space="preserve">Final description:
The purpose for the robot is to sort objects onto specific baskets based on their labels. The robot must identify each object by its label, which includes a button (object1) and two cylinders (objects 2 and 3), as well as two baskets (objects 4 and 5). The task involves moving the button and the cylinders into one of the two available baskets, ensuring that each object is placed in an appropriate basket according to their labels. The robot uses its perception capabilities to determine the position and state of each object on the table, with the goal of organizing them by transferring them from their initial positions to the designated baskets.</t>
  </si>
  <si>
    <t xml:space="preserve">Distribute the items by color into appropriate containers.</t>
  </si>
  <si>
    <t xml:space="preserve">&lt;Final description&gt;
The robot's purpose is to distribute specific objects by color into designated containers without moving others. The robot will execute a sequence of actions: first, it will move its hand to the red cylinder's location, grasp it, and place it inside the green basket. After releasing the object, the robot will return its hand to an open state. Next, the robot will locate the blue cylinder, pick it up, and deposit it into the yellow basket before again opening its hand. Throughout this process, the white button remains undisturbed on the table.</t>
  </si>
  <si>
    <t xml:space="preserve">Final description:
The purpose for the robot involves distributing objects based on their colors into corresponding containers. Specifically, there are two types of containers: baskets (object4 and object5) and cylinders (object2 and object3). The robot must identify each object's color using its perception capabilities and then place it in a container that matches its color. For instance, the white button (object1) should be placed into one of the baskets since there is no specific basket for white objects, while red items should go into the red cylinder (object2), blue items into the blue cylinder (object3), green items into the green basket (object4), and yellow items into the yellow basket (object5). The robot must utilize its sensors to determine the position of each object and move them accordingly using its robotic arm.</t>
  </si>
  <si>
    <t xml:space="preserve">The pieces must be sorted by their color.</t>
  </si>
  <si>
    <t xml:space="preserve">&lt;Final description&gt;
The robot will execute the following actions:
1. Move the red cylinder from its current position on the table to inside the green basket.
2. Move the blue cylinder from its current position on the table to inside the yellow basket.
These are the only sorting tasks required for this purpose.</t>
  </si>
  <si>
    <t xml:space="preserve">Final description:
The purpose for the robot is to sort objects on a table based on their colors. The objects available are labeled as button, cylinder, and basket, with specific normalized diameters and positions on the table. Each object has a distinct color: white, red, blue, green, or yellow. The task involves arranging these objects in an order determined by their color attributes, ensuring that all pieces are sorted accordingly.</t>
  </si>
  <si>
    <t xml:space="preserve">Place each object in its designated container.</t>
  </si>
  <si>
    <t xml:space="preserve">&lt;Final description&gt;
The robot's task is to place the red cylinder into the green basket and the blue cylinder into the yellow basket. To achieve this, the robot should first move its hand to the position of the red cylinder, grasp it, transport it to the green basket, and release it inside. Next, the robot should move its hand to the position of the blue cylinder, grasp it, transport it to the yellow basket, and release it inside.
&lt;/Final description&gt;</t>
  </si>
  <si>
    <t xml:space="preserve">Final description:
The purpose involves positioning objects on a table into their respective containers based on specific criteria. The robot must identify and move the button (object1) to one of the baskets (either object4 or object5), which are distinguished by their larger diameters and distinct colors, green and yellow respectively. Additionally, the red cylinder (object2) and the blue cylinder (object3) need to be placed into separate baskets as well. The robot must utilize its perception capabilities to determine the positions of these objects on the table and execute movements to place each object in a designated basket based on their labels and characteristics.</t>
  </si>
  <si>
    <t xml:space="preserve">Separate the colored items into their respective baskets.</t>
  </si>
  <si>
    <t xml:space="preserve">&lt;Final description&gt;
The robot should perform the following actions to fulfill the human's purpose:
1. Move its arm to the position of the red cylinder (object2) and grasp it.
2. Transport the red cylinder to the green basket (object4) and release it inside.
3. Next, move its arm to the blue cylinder (object3), grasp it, and transport it to the yellow basket (object5).
4. Release the blue cylinder into the yellow basket.
These actions will successfully separate the colored items into their respective baskets as specified.</t>
  </si>
  <si>
    <t xml:space="preserve">Final description:
The purpose for the robot is to separate objects based on color by placing them into corresponding baskets. Specifically, the robot needs to identify and move the red cylinder (object2) into one basket and the blue cylinder (object3) into another basket. The robot must use its perception capabilities to locate these colored cylinders on the table and then manipulate its arm to grasp each object and place it in the appropriate basket based on color. This task involves recognizing the objects' colors, determining their positions, and executing precise movements to achieve the separation goal.</t>
  </si>
  <si>
    <t xml:space="preserve">Sort the cylinders on the table.</t>
  </si>
  <si>
    <t xml:space="preserve">&lt;Final description&gt;
The task for the robot involves arranging two cylinders into specific baskets on a table. The red cylinder, identified as object2, should be placed inside the green basket, known as object4. Similarly, the blue cylinder, referred to as object3, needs to be positioned within the yellow basket, labeled as object5.
To accomplish this task, the robot will first move its hand to the location of the red cylinder and grasp it securely. It will then transport the grasped cylinder to the green basket's position and release it inside. After ensuring that the robot's hand is empty following the release of the red cylinder, the robot will proceed to locate the blue cylinder. The robot will grasp the blue cylinder and carry it to the yellow basket's location, where it will be released into the basket. Finally, the robot will confirm that its hand is empty after placing the blue cylinder inside.
This sequence ensures both cylinders are correctly sorted into their designated baskets according to your instructions.
&lt;/Final description&gt;</t>
  </si>
  <si>
    <t xml:space="preserve">Final description:
The purpose for the robot is to sort the cylinders on the table by positioning them in a specific order or arrangement based on their attributes such as color, diameter, or position. The robot must identify and manipulate object2 (red cylinder) and object3 (blue cylinder), ensuring they are placed according to the desired sorting criteria while leaving other objects like the button, baskets, etc., unaffected.</t>
  </si>
  <si>
    <t xml:space="preserve">Assign each cylinder to the correct basket based on its color.</t>
  </si>
  <si>
    <t xml:space="preserve">&lt;Final description&gt;
The robot should perform the following actions to fulfill your purpose: 
1. Move its hand to the position of the red cylinder (object2) on the table.
2. Grasp the red cylinder with its robotic arm.
3. Transport the red cylinder to the green basket (object4).
4. Release the red cylinder into the green basket, ensuring it is placed inside.
5. Next, move its hand to the position of the blue cylinder (object3) on the table.
6. Grasp the blue cylinder with its robotic arm.
7. Transport the blue cylinder to the yellow basket (object5).
8. Release the blue cylinder into the yellow basket, ensuring it is placed inside.
</t>
  </si>
  <si>
    <t xml:space="preserve">Final description:
The purpose for the robot involves assigning each cylinder to a corresponding basket based on their colors. Specifically, there are two cylinders: one red and one blue. There are also two baskets: one green and one yellow. The task requires the robot to identify the red cylinder and place it in the appropriate basket, as well as identify the blue cylinder and place it in its respective basket. This assignment is based on a predefined color-matching criterion between the cylinders and the baskets.</t>
  </si>
  <si>
    <t xml:space="preserve">Organize the objects on the table by color.</t>
  </si>
  <si>
    <t xml:space="preserve">&lt;Final description&gt;
The robot should perform two main actions: first, it needs to move its hand to the position of the red cylinder, grasp it (ensuring `robot_hand.state` becomes 1), and then transport it to the green basket's location before releasing it (ensuring `robot_hand.state` returns to 0). Second, the robot should move its hand to the blue cylinder's position, grasp it (ensuring `robot_hand.state` becomes 1), carry it to the yellow basket's location, and release it there (ensuring `robot_hand.state` returns to 0).</t>
  </si>
  <si>
    <t xml:space="preserve">Final description:
The purpose for the robot is to organize the objects on the table based on their colors. The robot must identify each object's color using its perception capabilities, which include recognizing white, red, blue, green, and yellow as possible colors of the objects present. Once identified, the robot should arrange these objects in a manner that groups them by their respective colors. This involves moving the objects to specific positions on the table where similar colored items are clustered together, ensuring each color group is distinct from others. The robot must utilize its ability to grasp and move objects, as well as accurately perceive their current positions, to achieve this organization task effectively.</t>
  </si>
  <si>
    <t xml:space="preserve">Place all objects in the appropriate baskets.</t>
  </si>
  <si>
    <t xml:space="preserve">&lt;Final description&gt;
The robot will grasp the red cylinder and place it into the green basket. After releasing the grip on the red cylinder, the robot will then grasp the blue cylinder and place it into the yellow basket, ensuring to release its grip once the blue cylinder is inside.</t>
  </si>
  <si>
    <t xml:space="preserve">Final description:
The purpose for the robot involves identifying and placing specific objects into designated containers on a table. The task requires the robot to recognize two types of objects: buttons and cylinders, as well as two types of containers: small baskets and larger baskets. The button is characterized by its white color and smaller diameter (0.3), while the cylinders are identified by their red or blue colors with a slightly larger diameter (0.4). There are also two large green and yellow baskets on the table, each with a diameter of 0.7. The robot must use its perception capabilities to locate these objects based on their positions, diameters, and colors. Once identified, it should grasp each object using its robotic arm and place them into the appropriate basket: buttons and cylinders are to be placed in either of the baskets without specific color constraints. This task requires precise coordination between the robot's hand movements and sensory inputs to ensure all objects are correctly sorted into their respective containers.</t>
  </si>
  <si>
    <t xml:space="preserve">Sort and place the items according to their color.</t>
  </si>
  <si>
    <t xml:space="preserve">&lt;Final description&gt;
The robot will sort and place objects by performing the following sequential actions:
1. **Identify and Grasp the Red Cylinder**: Move the robotic arm to grasp the red cylinder.
2. **Placement Action for the Red Cylinder**: Place the red cylinder into the green basket, which is already positioned on the table.
3. **Release the Red Cylinder**: Ensure the red cylinder is securely placed inside the green basket before proceeding.
4. **Identify and Grasp the Blue Cylinder**: Move the robotic arm to grasp the blue cylinder.
5. **Placement Action for the Blue Cylinder**: Place the blue cylinder into the yellow basket, which is already positioned on the table.
6. **Release the Blue Cylinder**: Ensure the blue cylinder is securely placed inside the yellow basket.
This plan ensures that each cylinder is picked and placed one at a time in the specified order.</t>
  </si>
  <si>
    <t xml:space="preserve">Final description:
The purpose for the robot is to sort and arrange objects on a table based on their colors. The objects include a white button, a red cylinder, a blue cylinder, a green basket, and a yellow basket. Each object has specific attributes such as position (x and y coordinates), diameter, color, and state. The task involves organizing these items so that they are grouped by their respective colors. This requires the robot to identify each object's color through its perception system and then move them into designated areas on the table where objects of the same color are placed together.</t>
  </si>
  <si>
    <t xml:space="preserve">Each colored element has to end up in the right basket.</t>
  </si>
  <si>
    <t xml:space="preserve">&lt;Final description&gt;
The robot should move the red cylinder and place it into the green basket. Then, the robot should take the blue cylinder and place it into the yellow basket. The white button does not need to be moved.</t>
  </si>
  <si>
    <t xml:space="preserve">Final description:
The purpose for the robot involves sorting objects based on their color into corresponding baskets. Specifically, the robot must identify each object by its color and place it into a designated basket that matches this color attribute. The objects include a white button, red cylinder, blue cylinder, green basket, and yellow basket. Each colored element (button, cylinders) needs to be placed in the appropriately colored basket (green or yellow), ensuring that all items are sorted correctly according to their color attributes.</t>
  </si>
  <si>
    <t xml:space="preserve">Average</t>
  </si>
  <si>
    <t xml:space="preserve">Standard deviation</t>
  </si>
  <si>
    <t xml:space="preserve">Median</t>
  </si>
  <si>
    <t xml:space="preserve">Coefficient of variation</t>
  </si>
  <si>
    <t xml:space="preserve">Column8</t>
  </si>
  <si>
    <t xml:space="preserve">Cylinder-Missions</t>
  </si>
  <si>
    <t xml:space="preserve">Proposed missions</t>
  </si>
  <si>
    <t xml:space="preserve">Invalid</t>
  </si>
  <si>
    <t xml:space="preserve">Valid</t>
  </si>
  <si>
    <t xml:space="preserve">[['blue_cylinder_in_yellow_basket', 0.6], ['red_cylinder_in_green_basket', 0.8]]</t>
  </si>
  <si>
    <t xml:space="preserve">[['red_cylinder_identified', 0.3], ['blue_cylinder_identified', 0.4], ['red_cylinder_in_green_basket', 0.5], ['blue_cylinder_in_yellow_basket', 0.6]]</t>
  </si>
  <si>
    <t xml:space="preserve">[['cylinder_in_green_basket', 0.8], ['cylinder_in_yellow_basket', 0.9]]</t>
  </si>
  <si>
    <t xml:space="preserve">[['red_cylinder_in_hand', 0.1], ['green_basket_with_red_cylinder', 0.3], ['blue_cylinder_in_hand', 0.4], ['yellow_basket_with_blue_cylinder', 0.6]]</t>
  </si>
  <si>
    <t xml:space="preserve">[['red_cylinder_in_green_basket', 0.4], ['blue_cylinder_in_yellow_basket', 0.6]]</t>
  </si>
  <si>
    <t xml:space="preserve">[['red_cylinder_in_hand', 0.3], ['red_cylinder_in_green_basket', 0.4], ['blue_cylinder_in_hand', 0.5], ['blue_cylinder_in_yellow_basket', 0.6]]</t>
  </si>
  <si>
    <t xml:space="preserve">[['red_cylinder_in_hand', 0.3], ['green_basket_in_hand', 0.4], ['red_cylinder_in_green_basket', 0.5], ['blue_cylinder_in_hand', 0.6], ['yellow_basket_in_hand', 0.7], ['blue_cylinder_in_yellow_basket', 0.8]]</t>
  </si>
  <si>
    <t xml:space="preserve">[['red_cylinder_in_green_basket', 0.3], ['blue_cylinder_in_yellow_basket', 0.4]]</t>
  </si>
  <si>
    <t xml:space="preserve">[['blue_cylinder_in_yellow_basket', 0.3], ['red_cylinder_in_green_basket', 0.4]]</t>
  </si>
  <si>
    <t xml:space="preserve">[['cylinder_in_hand', 0.1], ['red_cylinder_in_green_basket', 0.3], ['blue_cylinder_in_yellow_basket', 0.5]]</t>
  </si>
  <si>
    <t xml:space="preserve">[['hand_at_red_cylinder', 0.1], ['red_cylinder_in_hand', 0.2], ['hand_at_green_basket', 0.3], ['red_cylinder_in_green_basket', 0.4], ['hand_at_blue_cylinder', 0.5], ['blue_cylinder_in_hand', 0.6], ['hand_at_yellow_basket', 0.7], ['blue_cylinder_in_yellow_basket', 0.8]]</t>
  </si>
  <si>
    <t xml:space="preserve">[['red_cylinder_in_green_basket', 0.3], ['blue_cylinder_in_yellow_basket', 0.7]]</t>
  </si>
  <si>
    <t xml:space="preserve">[['object2_in_hand', 0.3], ['object3_in_hand', 0.4], ['red_cylinder_at_designated_location', 0.5], ['blue_cylinder_at_designated_location', 0.6]]</t>
  </si>
  <si>
    <t xml:space="preserve">[['button_in_basket', 0.9], ['cylinder_not_in_basket', 0.8]]</t>
  </si>
  <si>
    <t xml:space="preserve">[['object_color_grouped', 0.9], ['robot_hand_object_grasped', 0.8]]</t>
  </si>
  <si>
    <t xml:space="preserve">[['object2_in_hand', 0.3], ['object3_in_hand', 0.4], ['object2_in_basket', 0.5], ['object3_in_basket', 0.6]]</t>
  </si>
  <si>
    <t xml:space="preserve">[['button_in_basket', 0.6], ['cylinder_red_in_basket', 0.7], ['cylinder_blue_in_basket', 0.8]]</t>
  </si>
  <si>
    <t xml:space="preserve">[['button_in_basket', 0.3], ['red_cylinder_in_red_container', 0.4], ['blue_cylinder_in_blue_container', 0.5], ['green_object_in_green_basket', 0.6], ['yellow_object_in_yellow_basket', 0.7]]</t>
  </si>
  <si>
    <t xml:space="preserve">[['object_in_hand', 0.1], ['button_sorted_by_color', 0.2], ['cylinder_sorted_by_color', 0.3], ['basket_sorted_by_color', 0.4]]</t>
  </si>
  <si>
    <t xml:space="preserve">[['button_in_basket', 0.3], ['red_cylinder_in_basket', 0.4], ['blue_cylinder_in_basket', 0.5]]</t>
  </si>
  <si>
    <t xml:space="preserve">[['object2_in_basket', 0.6], ['object3_in_basket', 0.8]]</t>
  </si>
  <si>
    <t xml:space="preserve">[['object2_in_hand', 0.1], ['object3_in_hand', 0.15], ['red_cylinder_sorted_position', 0.25], ['blue_cylinder_sorted_position', 0.3]]</t>
  </si>
  <si>
    <t xml:space="preserve">[['cylinder_in_hand', 0.3], ['red_cylinder_in_green_basket', 0.5], ['blue_cylinder_in_yellow_basket', 0.7]]</t>
  </si>
  <si>
    <t xml:space="preserve">[['object_in_hand', 0.1], ['white_objects_grouped', 0.3], ['red_objects_grouped', 0.4], ['blue_objects_grouped', 0.5], ['green_objects_grouped', 0.6], ['yellow_objects_grouped', 0.7]]</t>
  </si>
  <si>
    <t xml:space="preserve">[['button_in_hand', 0.3], ['cylinder_in_hand', 0.4], ['object_in_small_basket', 0.5], ['object_in_large_basket', 0.6]]</t>
  </si>
  <si>
    <t xml:space="preserve">[['object_in_hand', 0.1], ['button_on_table', 0.2], ['red_cylinder_on_table', 0.3], ['blue_cylinder_on_table', 0.4], ['green_basket_on_table', 0.5], ['yellow_basket_on_table', 0.6]]</t>
  </si>
  <si>
    <t xml:space="preserve">[['object1_in_basket4', 0.2], ['object2_in_basket4', 0.3], ['object3_in_basket5', 0.4]]</t>
  </si>
  <si>
    <t xml:space="preserve">Cylinders-Drives</t>
  </si>
  <si>
    <t xml:space="preserve">[['(object3.x_position - object5.x_position)**2 + (object3.y_position - object5.y_position)**2'], ['(object2.x_position - object4.x_position)**2 + (object2.y_position - object4.y_position)**2']]</t>
  </si>
  <si>
    <t xml:space="preserve">[['(1 - robot_hand.state) + (object2.x_position - robot_hand.x_position)**2 + (object2.y_position - robot_hand.y_position)**2'], ['(1 - robot_hand.state) + (object3.x_position - robot_hand.x_position)**2 + (object3.y_position - robot_hand.y_position)**2'], ['(object2.x_position - object4.x_position)**2 + (object2.y_position - object4.y_position)**2'], ['(object3.x_position - object5.x_position)**2 + (object3.y_position - object5.y_position)**2']]</t>
  </si>
  <si>
    <t xml:space="preserve">[['(object2.x_position - object4.x_position)**2 + (object2.y_position - object4.y_position)**2'], ['(object3.x_position - object5.x_position)**2 + (object3.y_position - object5.y_position)**2']]</t>
  </si>
  <si>
    <t xml:space="preserve">[['(1 - robot_hand.state) + (object2.x_position - robot_hand.x_position)**2 + (object2.y_position - robot_hand.y_position)**2'], ['(object2.x_position - object4.x_position)**2 + (object2.y_position - object4.y_position)**2'], ['(1 - robot_hand.state) + (object3.x_position - robot_hand.x_position)**2 + (object3.y_position - robot_hand.y_position)**2'], ['(object3.x_position - object5.x_position)**2 + (object3.y_position - object5.y_position)**2']]</t>
  </si>
  <si>
    <t xml:space="preserve">[['(1 - robot_hand.state) + ((object2.x_position - robot_hand.x_position)**2 + (object2.y_position - robot_hand.y_position)**2)'], ['(object2.x_position - object4.x_position)**2 + (object2.y_position - object4.y_position)**2'], ['(1 - robot_hand.state) + ((object3.x_position - robot_hand.x_position)**2 + (object3.y_position - robot_hand.y_position)**2)'], ['(object3.x_position - object5.x_position)**2 + (object3.y_position - object5.y_position)**2']]</t>
  </si>
  <si>
    <t xml:space="preserve">[['max(0, 1 - robot_hand.state)'], ['abs(object2.x_position - object4.x_position) + abs(object2.y_position - object4.y_position)'], ['max(0, 1 - robot_hand.state)'], ['abs(object3.x_position - object5.x_position) + abs(object3.y_position - object5.y_position)']]</t>
  </si>
  <si>
    <t xml:space="preserve">[['min(abs(robot_hand.state - 1), 1)'], ['abs(object2.x_position - object4.x_position) + abs(object2.y_position - object4.y_position)'], ['abs(object3.x_position - object5.x_position) + abs(object3.y_position - object5.y_position)']]</t>
  </si>
  <si>
    <t xml:space="preserve">[['(object2.x_position - robot_hand.x_position)**2 + (object2.y_position - robot_hand.y_position)**2 + (1 - robot_hand.state)'], ['(object2.x_position - object4.x_position)**2 + (object2.y_position - object4.y_position)**2'], ['(object3.x_position - robot_hand.x_position)**2 + (object3.y_position - robot_hand.y_position)**2 + (1 - robot_hand.state)'], ['(object3.x_position - object5.x_position)**2 + (object3.y_position - object5.y_position)**2']]</t>
  </si>
  <si>
    <t xml:space="preserve">Results: SEMANTIC SIMILARITY EXPERIMENT STACKING CYLINDERS</t>
  </si>
  <si>
    <t xml:space="preserve">Ideal purpose</t>
  </si>
  <si>
    <t xml:space="preserve">"The robot's task is to stack the cylinders by size in the center of the table by their size (based on their diameters). The largest cylinder goes at the bottom and the smallest one on at the top. To do this, first, the robot should grasp the object4 (largest cylinder), move it to the center of the table. After that, the robot should grasp the object2 (second largest cylinder) and place it on top of the object4. Last, it has to grasp the object3 (smallest cylinder), move it to the center of the table and stack it on top of the object2."</t>
  </si>
  <si>
    <t xml:space="preserve">Stack the cylinders properly on the table.</t>
  </si>
  <si>
    <t xml:space="preserve">Based on your clarifications, here is a specific description of the task:
The robot should perform the following actions to fulfill the purpose of stacking the cylinders properly:
1. **Identify and Grasp Cylinder 4**: The robot will locate cylinder 4 (yellow) with a diameter of 0.8 and grasp it.
2. **Position Cylinder 4 at Center**: Place cylinder 4 on the table, ensuring its center aligns with the center of the table.
3. **Identify and Grasp Cylinder 2**: Next, the robot will locate cylinder 2 (blue) with a diameter of 0.4 and grasp it.
4. **Stack Cylinder 2 on Cylinder 4**: Carefully place cylinder 2 on top of cylinder 4, maintaining alignment at the center.
5. **Identify and Grasp Cylinder 3**: Finally, the robot will locate cylinder 3 (red) with a diameter of 0.2 and grasp it.
6. **Stack Cylinder 3 on Cylinder 2**: Place cylinder 3 on top of cylinder 2, ensuring the stack remains centered.
This sequence ensures that the cylinders are stacked from largest to smallest at the center of the table.
&lt;Final description&gt;
The robot will first locate and grasp the yellow cylinder (object4) with a diameter of 0.8, then place it in the center of the table. Next, it will find and grasp the blue cylinder (object2) with a diameter of 0.4, stacking it on top of the yellow cylinder while maintaining central alignment. Finally, the robot will locate and grasp the red cylinder (object3) with a diameter of 0.2, placing it on top of the blue cylinder to complete the stack at the center of the table.
&lt;Final description&gt;</t>
  </si>
  <si>
    <t xml:space="preserve">Arrange the items in a vertical stack at the center.</t>
  </si>
  <si>
    <t xml:space="preserve">&lt;Final description&gt;
The robot should arrange a vertical stack of objects at the exact center of the table, with their centers aligned along x=0.5 and y=0.5. The stacking order should be from largest to smallest diameter. Specifically, the robot will perform the following actions:
1. Move its hand to grasp object4 (yellow cylinder) and place it at the bottom of the stack at the center coordinates.
2. Next, move to grasp object2 (blue cylinder) and position it on top of object4.
3. Finally, grasp object3 (red cylinder) and place it at the top of the stack.
This ensures that objects 4, 2, and 3 are stacked vertically in descending order of their diameters, centered precisely at the middle of the table both horizontally and vertically.
&lt;Final description&gt;</t>
  </si>
  <si>
    <t xml:space="preserve">Organize all objects by size in the middle of the table.</t>
  </si>
  <si>
    <t xml:space="preserve">&lt;Final description&gt;
The robot is tasked with organizing specific objects on a table by grasping and stacking them. It must first identify Object 4 as the largest cylinder with a diameter of 0.8 and move it to the center of the table at `x_position = 0.5` and `y_position = 0.5`. Once positioned, the robot should grasp Object 2, which has a diameter of 0.4, and place it on top of Object 4. Finally, the robot must grasp Object 3, with a diameter of 0.2, and stack it on top of Object 2. This sequence ensures that Objects 2 and 3 are neatly placed atop Object 4 at the table's center.
&lt;Final description&gt;</t>
  </si>
  <si>
    <t xml:space="preserve">Place the appropriate items in a single pile.</t>
  </si>
  <si>
    <t xml:space="preserve">&lt;Final description&gt;
Final description: The robot will begin by identifying and moving to each cylinder based on their sizes, starting with the largest, object4 (diameter 0.8), followed by object2 (diameter 0.4), and finally object3 (diameter 0.2). For each cylinder, the robot will grasp it if not already grasped and transport it to the center of the table. At this location, the robot will release the cylinder on top of any previously placed cylinders, ensuring they are stacked in order from largest to smallest at the designated central position on the table.
&lt;/Final description&gt;</t>
  </si>
  <si>
    <t xml:space="preserve">Sort objects into a stack.</t>
  </si>
  <si>
    <t xml:space="preserve">&lt;Final description&gt;
The robot is tasked with sorting and stacking cylinders based on their diameters into a single stack positioned at the center of the table. The process involves identifying objects 2, 3, and 4 as cylinders to be sorted in descending order by diameter: object 4 (0.8), object 2 (0.4), and object 3 (0.2). The robot calculates the center position of the table for accurate placement. It then grasps cylinder object 4, places it at the center, follows with object 2 on top of object 4, and finally stacks object 3 on top of object 2. The task is completed when the smallest cylinder (object 3) is positioned at the top of the stack in the center of the table.
&lt;/Final description&gt;</t>
  </si>
  <si>
    <t xml:space="preserve">Sort the objects to create a tower.</t>
  </si>
  <si>
    <t xml:space="preserve">&lt;Final description&gt;
The robot will first identify and grasp the cylinder with the largest diameter. It will then move this object to the center of the table and place it down as the base of the tower. Next, the robot will locate the second-largest cylinder by diameter, grasp it, and carefully position it on top of the first object at the center of the table. Finally, the robot will find the smallest cylinder, grasp it, and place it atop the other two cylinders to complete the tower. The task is considered complete when all three cylinders are stacked in descending order of diameter at the center of the table.
&lt;Final description&gt;</t>
  </si>
  <si>
    <t xml:space="preserve">Arrange the pieces on top of each other.</t>
  </si>
  <si>
    <t xml:space="preserve">&lt;Final description&gt;
The robot should stack Object4, Object2, and Object3 on top of each other from largest to smallest diameter, excluding Object1. The stacking begins with Object4 as the base due to its largest diameter (0.8). The robot will move its hand to grasp Object4 and place it at the center of the table. Next, the robot will identify and grasp Object2, which has a diameter of 0.4, and carefully stack it on top of Object4. Finally, the robot will locate and grasp Object3 with a diameter of 0.2, placing it atop Object2. Throughout this process, each object must be precisely centered above the one below to ensure stability.
&lt;Final description&gt;</t>
  </si>
  <si>
    <t xml:space="preserve">Stack similar objects in order from largest to smallest.</t>
  </si>
  <si>
    <t xml:space="preserve">&lt;Final description&gt;
The robot should identify all objects labeled as "cylinder" and stack them in order from largest to smallest diameter at the center of the table. The process involves moving the robotic arm to grasp each cylinder starting with the largest, transporting it to the center of the table, and placing it on top of any existing cylinders without ensuring precise alignment. This continues sequentially for all cylinders until they are stacked according to size.
&lt;Final description&gt;</t>
  </si>
  <si>
    <t xml:space="preserve">Create an organized pile with the cylinders.</t>
  </si>
  <si>
    <t xml:space="preserve">&lt;Final description&gt;
The robot will organize and stack the cylinders by size in the center of the table, ensuring the largest cylinder is at the bottom. First, it identifies the positions of object2 (blue), object3 (red), and object4 (yellow). The sorting order based on diameter is: object4 (0.8) as the largest, followed by object2 (0.4), and then object3 (0.2) as the smallest.
The robot moves its hand to the center of the table at coordinates x_position = 0.5 and y_position = 0.5. It picks up object4 (yellow cylinder) from its current position, places it at the center, and releases it. Next, it grasps object2 (blue cylinder), aligns it above object4, and sets it down. Finally, the robot picks up object3 (red cylinder), positions it on top of object2, and releases it to complete the stack.
&lt;Final description&gt;</t>
  </si>
  <si>
    <t xml:space="preserve">Place objects in a neat stack at the center.</t>
  </si>
  <si>
    <t xml:space="preserve">&lt;Final description&gt;
The robot should stack objects 2, 3, and 4 at the geometric center of the table (0.5, 0.5) by following these steps: 
1. Move to object4, which has the largest diameter, and grasp it.
2. Transport object4 to the center of the table and place it down.
3. Next, move to object2, with the second-largest diameter, grasp it, and transport it to the center.
4. Place object2 on top of object4 at the center.
5. Finally, move to object3, which has the smallest diameter among these three, grasp it, and bring it to the center.
6. Place object3 on top of object2.
This sequence ensures that the objects are stacked neatly from largest to smallest in diameter directly on top of each other at the table's center.
&lt;Final description&gt;</t>
  </si>
  <si>
    <t xml:space="preserve">Arrange everything so it forms a clear and tidy stack.</t>
  </si>
  <si>
    <t xml:space="preserve">&lt;Final description&gt;
The robot will create a tidy stack at the center of the table by arranging objects 4, 2, and 3 from largest to smallest diameter. First, it will identify object4 (a yellow cylinder with a diameter of 0.8) on the table and move it to the center, ensuring its base is stable before placing it down. Next, the robot will locate object2 (a blue cylinder with a diameter of 0.4), pick it up, and position it centered on top of object4. Finally, the robot will identify object3 (a red cylinder with a diameter of 0.2), lift it, and gently place it at the center atop object2 to complete the stack.
&lt;Final description&gt;</t>
  </si>
  <si>
    <t xml:space="preserve">Organize the cylinders by size into a single column.</t>
  </si>
  <si>
    <t xml:space="preserve">&lt;Final description&gt;
The robot should stack the cylinders in a single column at the center of the table, arranging them from largest to smallest diameter. The task begins by positioning its hand over object4 (the largest cylinder), grasping it securely, and moving it to the center of the table where it is released to form the base of the stack. Next, the robot should locate object2, grasp it, transport it to the center, and carefully place it on top of object4. The process continues with the robot grasping object3, moving it to the center, and stacking it atop the previous cylinders. Finally, any remaining cylinders are positioned in descending order of size, ensuring each is placed directly above the last until all are stacked.
&lt;Final description&gt;</t>
  </si>
  <si>
    <t xml:space="preserve">Stack the correct objects in the proper order.</t>
  </si>
  <si>
    <t xml:space="preserve">&lt;Final description&gt;
The robot's task is to stack three cylinder objects in order of their size, from largest to smallest, at the center of the table. The robot will first move its hand to grasp object4 (yellow cylinder), which has the largest diameter, and place it at the center of the table. Next, the robot will grasp object2 (blue cylinder) and stack it on top of object4. Finally, the robot will grasp object3 (red cylinder) and place it on top of object2, completing the stack with object3 as the smallest cylinder at the top.
&lt;Final description&gt;</t>
  </si>
  <si>
    <t xml:space="preserve">Place everything in a single, well-ordered pile.</t>
  </si>
  <si>
    <t xml:space="preserve">&lt;Final description&gt;
The robot will first grasp object4, which has the largest diameter of 0.8, and move it to the center of the table where both x_position and y_position are 0.5, placing it down. Next, the robot will pick up object2 with a diameter of 0.4, carry it to the same central location, and stack it on top of object4. Finally, the robot will grasp object3, which has a diameter of 0.2, move it to the center, and place it atop object2. This sequence ensures that objects 4, 2, and 3 are placed in a single pile at the table's center, ordered from largest to smallest by size.
&lt;Final description&gt;</t>
  </si>
  <si>
    <t xml:space="preserve">The robot has to stack the items so they're properly organized.</t>
  </si>
  <si>
    <t xml:space="preserve">&lt;Final description&gt;
The robot should stack the cylinders vertically at the center of the table, arranging them from largest to smallest by diameter. The yellow cylinder (object4) with a diameter of 0.8 should be placed first, followed by the blue cylinder (object2) with a diameter of 0.4, and finally the red cylinder (object3) with a diameter of 0.2.
&lt;Final description&gt;</t>
  </si>
  <si>
    <t xml:space="preserve">Stack – Missions</t>
  </si>
  <si>
    <t xml:space="preserve">[['yellow_cylinder_in_hand', 0.1], ['yellow_cylinder_center_of_table', 0.2], ['blue_cylinder_in_hand', 0.3], ['blue_cylinder_on_yellow_cylinder', 0.4], ['red_cylinder_in_hand', 0.5], ['red_cylinder_on_blue_cylinder', 0.6]]</t>
  </si>
  <si>
    <t xml:space="preserve">[['object4_in_hand', 0.1], ['object4_at_center_bottom', 0.2], ['object2_in_hand', 0.3], ['object2_on_object4', 0.4], ['object3_in_hand', 0.5], ['object3_on_object2', 0.6]]</t>
  </si>
  <si>
    <t xml:space="preserve">[['object4_at_center', 0.6], ['object2_on_object4', 0.8], ['object3_on_object2', 1.0]]</t>
  </si>
  <si>
    <t xml:space="preserve">[['object4_in_hand', 0.3], ['object2_in_hand', 0.5], ['object3_in_hand', 0.7], ['cylinders_stacked_at_center', 1.0]]</t>
  </si>
  <si>
    <t xml:space="preserve">[['cylinder_4_in_hand', 0.1], ['cylinder_4_at_center', 0.2], ['cylinder_2_in_hand', 0.3], ['cylinder_2_on_cylinder_4', 0.4], ['cylinder_3_in_hand', 0.5], ['cylinder_3_on_cylinder_2', 0.6]]</t>
  </si>
  <si>
    <t xml:space="preserve">[['object4_in_hand', 0.3], ['object4_at_center', 0.5], ['object3_in_hand', 0.6], ['object3_on_object4', 0.7], ['object2_in_hand', 0.8], ['object2_on_object3', 1.0]]</t>
  </si>
  <si>
    <t xml:space="preserve">[['object4_in_hand', 0.1], ['object4_centered_on_table', 0.15], ['object2_in_hand', 0.2], ['object2_stacked_on_object4', 0.25], ['object3_in_hand', 0.3], ['object3_stacked_on_object2', 0.35]]</t>
  </si>
  <si>
    <t xml:space="preserve">[['cylinders_identified', 0.1], ['largest_cylinder_in_hand', 0.2], ['largest_cylinder_centered_on_table', 0.3], ['second_largest_cylinder_in_hand', 0.4], ['second_largest_cylinder_stacked', 0.5], ['third_largest_cylinder_in_hand', 0.6], ['third_largest_cylinder_stacked', 0.7], ['smallest_cylinder_in_hand', 0.8], ['smallest_cylinder_stacked', 0.9]]</t>
  </si>
  <si>
    <t xml:space="preserve">[['object4_in_hand', 0.1], ['object4_at_center', 0.2], ['object2_in_hand', 0.3], ['object2_above_object4', 0.4], ['object3_in_hand', 0.5], ['object3_on_top_of_stack', 0.6]]</t>
  </si>
  <si>
    <t xml:space="preserve">[['object4_in_hand', 0.1], ['object4_at_center', 0.2], ['object2_in_hand', 0.3], ['object2_on_object4', 0.4], ['object3_in_hand', 0.5], ['object3_on_object2', 0.6]]</t>
  </si>
  <si>
    <t xml:space="preserve">[['object4_in_center', 0.1], ['object2_on_object4', 0.3], ['object3_on_object2', 0.5]]</t>
  </si>
  <si>
    <t xml:space="preserve">[['object4_in_hand', 0.1], ['object4_center_of_table', 0.2], ['object4_stacked_base', 0.3], ['object2_in_hand', 0.15], ['object2_center_of_table', 0.25], ['object2_stacked_on_object4', 0.35], ['object3_in_hand', 0.2], ['object3_center_of_table', 0.3], ['object3_stacked_on_object2', 0.4]]</t>
  </si>
  <si>
    <t xml:space="preserve">[['cylinder_stack_center', 1.0], ['yellow_cylinder_in_hand', 0.9], ['blue_cylinder_in_hand', 0.8], ['red_cylinder_in_hand', 0.7]]</t>
  </si>
  <si>
    <t xml:space="preserve">[['cylinder4_in_hand', 0.3], ['cylinder2_in_hand', 0.5], ['cylinder3_in_hand', 0.7], ['stack_cylinders_stable', 1.0]]</t>
  </si>
  <si>
    <t xml:space="preserve">[['object4_in_hand', 0.1], ['object2_in_hand', 0.2], ['object1_in_hand', 0.3], ['object3_in_hand', 0.4], ['stack_centered_on_table', 0.5]]</t>
  </si>
  <si>
    <t xml:space="preserve">[['object_in_hand_red_cylinder', 0.1], ['object_at_center_position_1', 0.2], ['object_in_hand_white_button', 0.3], ['object_at_center_position_2', 0.4], ['object_in_hand_blue_cylinder', 0.5], ['object_at_center_position_3', 0.6], ['object_in_hand_yellow_cylinder', 0.7], ['object_at_center_position_4', 0.8]]</t>
  </si>
  <si>
    <t xml:space="preserve">[['object1_in_hand', 0.2], ['object2_in_hand', 0.3], ['object3_in_hand', 0.4], ['object4_in_hand', 0.5], ['all_objects_in_pile', 0.6]]</t>
  </si>
  <si>
    <t xml:space="preserve">[['object_in_hand', 0.1], ['largest_object_at_bottom', 0.3], ['stable_stack_formation', 0.5]]</t>
  </si>
  <si>
    <t xml:space="preserve">[['object_yellow_cylinder_in_base_location', 0.1], ['object_blue_cylinder_on_yellow_cylinder', 0.3], ['object_red_cylinder_on_blue_cylinder', 0.5], ['object_white_button_on_top_of_tower', 0.7]]</t>
  </si>
  <si>
    <t xml:space="preserve">[['object1_in_hand', 0.2], ['object2_in_hand', 0.3], ['object3_in_hand', 0.4], ['object4_in_hand', 0.5], ['stacked_objects', 0.6]]</t>
  </si>
  <si>
    <t xml:space="preserve">[['object2_in_hand', 0.3], ['object4_in_hand', 0.4], ['object3_in_hand', 0.5], ['cylinder_stacked_descending_order', 1.0]]</t>
  </si>
  <si>
    <t xml:space="preserve">[['cylinders_identified', 0.1], ['robot_hand_empty', 0.2], ['object2_in_hand', 0.3], ['object2_at_designated_location', 0.4], ['object3_in_hand', 0.5], ['object3_on_object2', 0.6], ['object4_in_hand', 0.7], ['object4_on_object3', 0.8]]</t>
  </si>
  <si>
    <t xml:space="preserve">[['object1_in_hand', 0.2], ['object2_in_hand', 0.3], ['object3_in_hand', 0.4], ['object4_in_hand', 0.5], ['objects_centered_on_table', 0.6]]</t>
  </si>
  <si>
    <t xml:space="preserve">[['object4_in_hand', 0.1], ['object2_in_hand', 0.2], ['object1_in_hand', 0.3], ['object3_in_hand', 0.4], ['object4_on_object2', 0.5], ['object2_on_object1', 0.6], ['object1_on_object3', 0.7]]</t>
  </si>
  <si>
    <t xml:space="preserve">[['object3_in_hand', 0.2], ['object3_at_bottom_of_column', 0.4], ['object2_in_hand', 0.6], ['object2_above_object3', 0.8], ['object4_in_hand', 1.0], ['object4_on_top_of_column', 1.2]]</t>
  </si>
  <si>
    <t xml:space="preserve">[['blue_cylinder_in_hand', 0.3], ['red_cylinder_in_hand', 0.4], ['yellow_cylinder_in_hand', 0.5], ['stack_blue_red_yellow', 0.6]]</t>
  </si>
  <si>
    <t xml:space="preserve">[['object1_in_hand', 0.2], ['object2_in_hand', 0.3], ['object3_in_hand', 0.4], ['object4_in_hand', 0.5], ['all_objects_stacked', 0.6]]</t>
  </si>
  <si>
    <t xml:space="preserve">[['object_in_hand_button', 0.1], ['button_pressed_state_achieved', 0.2], ['largest_diameter_cylinder_bottom_of_stack', 0.3], ['cylinders_stacked_by_diameter_descending', 0.4], ['objects_stacked_by_color_gradient', 0.5]]</t>
  </si>
  <si>
    <t xml:space="preserve">Stack-Drives</t>
  </si>
  <si>
    <t xml:space="preserve">[['(1 - robot_hand.state) + ((object4.x_position - robot_hand.x_position)**2 + (object4.y_position - robot_hand.y_position)**2)'], ['((object4.x_position - 0.5)**2 + (object4.y_position - 0.5)**2)'], ['(1 - robot_hand.state) + ((object2.x_position - robot_hand.x_position)**2 + (object2.y_position - robot_hand.y_position)**2)'], ['((object2.x_position - object4.x_position)**2 + (object2.y_position - object4.y_position)**2)'], ['(1 - robot_hand.state) + ((object3.x_position - robot_hand.x_position)**2 + (object3.y_position - robot_hand.y_position)**2)'], ['((object3.x_position - object2.x_position)**2 + (object3.y_position - object2.y_position)**2)']]</t>
  </si>
  <si>
    <t xml:space="preserve">[['abs(robot_hand.state - 1) + abs(object4.x_position - robot_hand.x_position) + abs(object4.y_position - robot_hand.y_position)'], ['abs(object4.x_position - 0.5) + abs(object4.y_position - 0.5)'], ['abs(robot_hand.state - 1) + abs(object2.x_position - robot_hand.x_position) + abs(object2.y_position - robot_hand.y_position)'], ['abs(object2.x_position - 0.5) + abs(object2.y_position - 0.5)'], ['abs(robot_hand.state - 1) + abs(object3.x_position - robot_hand.x_position) + abs(object3.y_position - robot_hand.y_position)'], ['abs(object3.x_position - 0.5) + abs(object3.y_position - 0.5)']]</t>
  </si>
  <si>
    <t xml:space="preserve">[['(object4.x_position - 0.5)**2 + (object4.y_position - 0.5)**2'], ['(object2.x_position - object4.x_position)**2 + (object2.y_position - object4.y_position)**2'], ['(object3.x_position - object2.x_position)**2 + (object3.y_position - object2.y_position)**2']]</t>
  </si>
  <si>
    <t xml:space="preserve">[['max(0, 1 - robot_hand.state) + (abs(object4.x_position - robot_hand.x_position) + abs(object4.y_position - robot_hand.y_position)) * (1 - robot_hand.state)'], ['abs(object4.x_position - 0.5) + abs(object4.y_position - 0.5)'], ['max(0, 1 - robot_hand.state) + (abs(object2.x_position - robot_hand.x_position) + abs(object2.y_position - robot_hand.y_position)) * (1 - robot_hand.state)'], ['abs(object2.x_position - object4.x_position) + abs(object2.y_position - (object4.y_position + object4.diameter / 2 + object2.diameter / 2))'], ['max(0, 1 - robot_hand.state) + (abs(object3.x_position - robot_hand.x_position) + abs(object3.y_position - robot_hand.y_position)) * (1 - robot_hand.state)'], ['abs(object3.x_position - object2.x_position) + abs(object3.y_position - (object2.y_position + object2.diameter / 2 + object3.diameter / 2))']]</t>
  </si>
  <si>
    <t xml:space="preserve">[['abs(robot_hand.state - 1)'], ['(object4.x_position - 0.5)**2 + (object4.y_position - 0.5)**2'], ['abs(robot_hand.state - 1)'], ['(object2.x_position - object4.x_position)**2 + (object2.y_position - object4.y_position)**2'], ['abs(robot_hand.state - 1)'], ['(object3.x_position - object2.x_position)**2 + (object3.y_position - object2.y_position)**2']]</t>
  </si>
  <si>
    <t xml:space="preserve">[['abs(robot_hand.state - 1) + abs(object4.x_position - robot_hand.x_position) + abs(object4.y_position - robot_hand.y_position)'], ['abs(object4.x_position - 0.5) + abs(object4.y_position - 0.5)'], ['abs(robot_hand.state - 1) + abs(object3.x_position - robot_hand.x_position) + abs(object3.y_position - robot_hand.y_position)'], ['abs(object3.x_position - object4.x_position) + abs(object3.y_position - object4.y_position)'], ['abs(robot_hand.state - 1) + abs(object2.x_position - robot_hand.x_position) + abs(object2.y_position - robot_hand.y_position)'], ['abs(object2.x_position - object3.x_position) + abs(object2.y_position - object3.y_position)']]</t>
  </si>
  <si>
    <t xml:space="preserve">[['(1 - robot_hand.state) + abs(robot_hand.x_position - object4.x_position) + abs(robot_hand.y_position - object4.y_position)'], ['abs(object4.x_position - 0.5) + abs(object4.y_position - 0.5)'], ['(1 - robot_hand.state) + abs(robot_hand.x_position - object2.x_position) + abs(robot_hand.y_position - object2.y_position)'], ['abs(object2.x_position - object4.x_position) + abs(object2.y_position - object4.y_position)'], ['(1 - robot_hand.state) + abs(robot_hand.x_position - object3.x_position) + abs(robot_hand.y_position - object3.y_position)'], ['abs(object3.x_position - object2.x_position) + abs(object3.y_position - object2.y_position)']]</t>
  </si>
  <si>
    <t xml:space="preserve">[['abs(object4.x_position - robot_hand.x_position) + abs(object4.y_position - robot_hand.y_position) + (1 - robot_hand.state)'], ['abs(object4.x_position - 0.5) + abs(object4.y_position - 0.5)'], ['abs(object2.x_position - robot_hand.x_position) + abs(object2.y_position - robot_hand.y_position) + (1 - robot_hand.state)'], ['abs(object2.x_position - object4.x_position) + abs(object2.y_position - object4.y_position)'], ['abs(object3.x_position - robot_hand.x_position) + abs(object3.y_position - robot_hand.y_position) + (1 - robot_hand.state)'], ['abs(object3.x_position - object2.x_position) + abs(object3.y_position - object2.y_position)']]</t>
  </si>
  <si>
    <t xml:space="preserve">Final drives</t>
  </si>
  <si>
    <t xml:space="preserve">[['abs(robot_hand.state - 1) + abs(robot_hand.x_position - object4.x_position) + abs(robot_hand.y_position - object4.y_position)'], ['abs(object4.x_position - 0.5) + abs(object4.y_position - 0.5)'], ['abs(robot_hand.state - 1) + abs(robot_hand.x_position - object2.x_position) + abs(robot_hand.y_position - object2.y_position)'], ['abs(object2.x_position - 0.5) + abs(object2.y_position - 0.5) + abs(object2.x_position - object4.x_position) + abs(object2.y_position - object4.y_position)'], ['abs(robot_hand.state - 1) + abs(robot_hand.x_position - object3.x_position) + abs(robot_hand.y_position - object3.y_position)'], ['abs(object3.x_position - 0.5) + abs(object3.y_position - 0.5) + abs(object3.x_position - object2.x_position) + abs(object3.y_position - object2.y_position)']]</t>
  </si>
  <si>
    <t xml:space="preserve">[['abs(robot_hand.x_position - object4.x_position) + abs(robot_hand.y_position - object4.y_position) + (1 - robot_hand.state)'], ['(object4.x_position - 0.5)**2 + (object4.y_position - 0.5)**2'], ['abs(robot_hand.x_position - object2.x_position) + abs(robot_hand.y_position - object2.y_position) + (1 - robot_hand.state)'], ['(object2.x_position - object4.x_position)**2 + (object2.y_position - object4.y_position)**2'], ['abs(robot_hand.x_position - object3.x_position) + abs(robot_hand.y_position - object3.y_position) + (1 - robot_hand.state)'], ['(object3.x_position - object2.x_position)**2 + (object3.y_position - object2.y_position)**2']]</t>
  </si>
  <si>
    <t xml:space="preserve">[['(1 - robot_hand.state) + (abs(robot_hand.x_position - object4.x_position) + abs(robot_hand.y_position - object4.y_position))'], ['(abs(object4.x_position - 0.5) + abs(object4.y_position - 0.5))'], ['(1 - robot_hand.state) + (abs(robot_hand.x_position - object2.x_position) + abs(robot_hand.y_position - object2.y_position))'], ['(abs(object2.x_position - object4.x_position) + abs(object2.y_position - object4.y_position))'], ['(1 - robot_hand.state) + (abs(robot_hand.x_position - object3.x_position) + abs(robot_hand.y_position - object3.y_position))'], ['(abs(object3.x_position - object2.x_position) + abs(object3.y_position - object2.y_position))']]</t>
  </si>
  <si>
    <t xml:space="preserve">[['max(0, 1 - robot_hand.state)'], ['(object4.x_position - 0.5)**2 + (object4.y_position - 0.5)**2'], ['max(0, 1 - robot_hand.state)'], ['(object2.x_position - object4.x_position)**2 + (object2.y_position - object4.y_position)**2'], ['max(0, 1 - robot_hand.state)'], ['(object3.x_position - object2.x_position)**2 + (object3.y_position - object2.y_position)**2']]</t>
  </si>
  <si>
    <t xml:space="preserve">[['(object4.x_position - 0.5)**2 + (object4.y_position - 0.5)**2 + (object2.x_position - 0.5)**2 + (object2.y_position - 0.5)**2 + (object3.x_position - 0.5)**2 + (object3.y_position - 0.5)**2'], ['(1 - robot_hand.state)'], ['(object4.x_position - 0.5)**2 + (object4.y_position - 0.5)**2'], ['(1 - robot_hand.state)'], ['(object2.x_position - object4.x_position)**2 + (object2.y_position - object4.y_position)**2'], ['(1 - robot_hand.state)'], ['(object3.x_position - object2.x_position)**2 + (object3.y_position - object2.y_position)**2']]</t>
  </si>
</sst>
</file>

<file path=xl/styles.xml><?xml version="1.0" encoding="utf-8"?>
<styleSheet xmlns="http://schemas.openxmlformats.org/spreadsheetml/2006/main">
  <numFmts count="2">
    <numFmt numFmtId="164" formatCode="General"/>
    <numFmt numFmtId="165" formatCode="General"/>
  </numFmts>
  <fonts count="8">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name val="Calibri"/>
      <family val="2"/>
      <charset val="1"/>
    </font>
    <font>
      <b val="true"/>
      <sz val="11"/>
      <name val="Calibri"/>
      <family val="0"/>
      <charset val="1"/>
    </font>
    <font>
      <sz val="11"/>
      <color rgb="FF000000"/>
      <name val="Calibri"/>
      <family val="2"/>
      <charset val="1"/>
    </font>
  </fonts>
  <fills count="5">
    <fill>
      <patternFill patternType="none"/>
    </fill>
    <fill>
      <patternFill patternType="gray125"/>
    </fill>
    <fill>
      <patternFill patternType="solid">
        <fgColor rgb="FF61CBF4"/>
        <bgColor rgb="FF96DCF8"/>
      </patternFill>
    </fill>
    <fill>
      <patternFill patternType="solid">
        <fgColor rgb="FFCAEEFB"/>
        <bgColor rgb="FFCCFFFF"/>
      </patternFill>
    </fill>
    <fill>
      <patternFill patternType="solid">
        <fgColor rgb="FF96DCF8"/>
        <bgColor rgb="FFCAEEFB"/>
      </patternFill>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5" fontId="0" fillId="3" borderId="2"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5" fontId="4" fillId="3" borderId="2" xfId="0" applyFont="true" applyBorder="true" applyAlignment="false" applyProtection="false">
      <alignment horizontal="general" vertical="bottom" textRotation="0" wrapText="false" indent="0" shrinkToFit="false"/>
      <protection locked="true" hidden="false"/>
    </xf>
    <xf numFmtId="164" fontId="4" fillId="4" borderId="2" xfId="0" applyFont="true" applyBorder="true" applyAlignment="false" applyProtection="false">
      <alignment horizontal="general" vertical="bottom" textRotation="0" wrapText="false" indent="0" shrinkToFit="false"/>
      <protection locked="true" hidden="false"/>
    </xf>
    <xf numFmtId="165" fontId="0" fillId="4" borderId="2"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00FFFFFF"/>
        </patternFill>
      </fill>
    </dxf>
    <dxf>
      <fill>
        <patternFill patternType="solid">
          <fgColor rgb="FF3D3D3D"/>
          <bgColor rgb="FFFFFFFF"/>
        </patternFill>
      </fill>
    </dxf>
    <dxf>
      <fill>
        <patternFill patternType="solid">
          <fgColor rgb="FF61CBF4"/>
        </patternFill>
      </fill>
    </dxf>
    <dxf>
      <fill>
        <patternFill patternType="solid">
          <fgColor rgb="FFCAEEFB"/>
        </patternFill>
      </fill>
    </dxf>
    <dxf>
      <fill>
        <patternFill patternType="solid">
          <fgColor rgb="FF96DCF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AEE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6DCF8"/>
      <rgbColor rgb="FFFF99CC"/>
      <rgbColor rgb="FFCC99FF"/>
      <rgbColor rgb="FFFFCC99"/>
      <rgbColor rgb="FF3366FF"/>
      <rgbColor rgb="FF61CBF4"/>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sharedStrings" Target="sharedStrings.xml"/>
</Relationships>
</file>

<file path=xl/tables/table1.xml><?xml version="1.0" encoding="utf-8"?>
<table xmlns="http://schemas.openxmlformats.org/spreadsheetml/2006/main" id="1" name="Apilar_misiones" displayName="Apilar_misiones" ref="A1:C20" headerRowCount="1" totalsRowCount="1" totalsRowShown="1">
  <autoFilter ref="A1:C20"/>
  <tableColumns count="3">
    <tableColumn id="1" name="Column1"/>
    <tableColumn id="2" name="Column4"/>
    <tableColumn id="3" name="Column6"/>
  </tableColumns>
</table>
</file>

<file path=xl/tables/table2.xml><?xml version="1.0" encoding="utf-8"?>
<table xmlns="http://schemas.openxmlformats.org/spreadsheetml/2006/main" id="2" name="Drives_apilar" displayName="Drives_apilar" ref="A1:E77" headerRowCount="1" totalsRowCount="0" totalsRowShown="0">
  <autoFilter ref="A1:E77"/>
  <tableColumns count="5">
    <tableColumn id="1" name="Column1"/>
    <tableColumn id="2" name="Column2"/>
    <tableColumn id="3" name="Column3"/>
    <tableColumn id="4" name="Column4"/>
    <tableColumn id="5" name="Column5"/>
  </tableColumns>
</table>
</file>

<file path=xl/tables/table3.xml><?xml version="1.0" encoding="utf-8"?>
<table xmlns="http://schemas.openxmlformats.org/spreadsheetml/2006/main" id="3" name="Drives_cilindros_canasta__2" displayName="Drives_cilindros_canasta__2" ref="A1:D83" headerRowCount="1" totalsRowCount="1" totalsRowShown="1">
  <autoFilter ref="A1:D83"/>
  <tableColumns count="4">
    <tableColumn id="1" name="Column1"/>
    <tableColumn id="2" name="Column2"/>
    <tableColumn id="3" name="Column3"/>
    <tableColumn id="4" name="Column4"/>
  </tableColumns>
</table>
</file>

<file path=xl/tables/table4.xml><?xml version="1.0" encoding="utf-8"?>
<table xmlns="http://schemas.openxmlformats.org/spreadsheetml/2006/main" id="4" name="Misiones_cilindros_canastas" displayName="Misiones_cilindros_canastas" ref="A1:F21" headerRowCount="1" totalsRowCount="0" totalsRowShown="0">
  <autoFilter ref="A1:F21"/>
  <tableColumns count="6">
    <tableColumn id="1" name="Column1"/>
    <tableColumn id="2" name="Column4"/>
    <tableColumn id="3" name="Column5"/>
    <tableColumn id="4" name="Column6"/>
    <tableColumn id="5" name="Column7"/>
    <tableColumn id="6" name="Column8"/>
  </tableColumns>
</table>
</file>

<file path=xl/tables/table5.xml><?xml version="1.0" encoding="utf-8"?>
<table xmlns="http://schemas.openxmlformats.org/spreadsheetml/2006/main" id="5" name="Misiones_clasificar_manzanas_color" displayName="Misiones_clasificar_manzanas_color" ref="A1:E20" headerRowCount="1" totalsRowCount="1" totalsRowShown="1">
  <autoFilter ref="A1:E20"/>
  <tableColumns count="5">
    <tableColumn id="1" name="Column1"/>
    <tableColumn id="2" name="Column4"/>
    <tableColumn id="3" name="Column5"/>
    <tableColumn id="4" name="Column6"/>
    <tableColumn id="5" name="Column7"/>
  </tableColumns>
</tabl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8.xml.rels><?xml version="1.0" encoding="UTF-8"?>
<Relationships xmlns="http://schemas.openxmlformats.org/package/2006/relationships"><Relationship Id="rId1" Type="http://schemas.openxmlformats.org/officeDocument/2006/relationships/table" Target="../tables/table1.xml"/>
</Relationships>
</file>

<file path=xl/worksheets/_rels/sheet9.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B34" activeCellId="0" sqref="B34"/>
    </sheetView>
  </sheetViews>
  <sheetFormatPr defaultColWidth="10.5859375" defaultRowHeight="13.8" zeroHeight="false" outlineLevelRow="0" outlineLevelCol="0"/>
  <cols>
    <col collapsed="false" customWidth="true" hidden="false" outlineLevel="0" max="1" min="1" style="0" width="17.67"/>
    <col collapsed="false" customWidth="true" hidden="false" outlineLevel="0" max="3" min="2" style="0" width="80"/>
    <col collapsed="false" customWidth="true" hidden="false" outlineLevel="0" max="10" min="4" style="0" width="31.87"/>
  </cols>
  <sheetData>
    <row r="1" customFormat="false" ht="13.8" hidden="false" customHeight="false" outlineLevel="0" collapsed="false">
      <c r="A1" s="1" t="s">
        <v>0</v>
      </c>
    </row>
    <row r="2" customFormat="false" ht="13.8" hidden="false" customHeight="false" outlineLevel="0" collapsed="false">
      <c r="A2" s="1" t="s">
        <v>1</v>
      </c>
      <c r="B2" s="0" t="s">
        <v>2</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2.85" hidden="false" customHeight="true" outlineLevel="0" collapsed="false">
      <c r="A6" s="5" t="n">
        <v>1</v>
      </c>
      <c r="B6" s="0" t="s">
        <v>12</v>
      </c>
      <c r="C6" s="6" t="s">
        <v>13</v>
      </c>
      <c r="D6" s="7" t="s">
        <v>14</v>
      </c>
      <c r="E6" s="0" t="n">
        <v>0.7032</v>
      </c>
      <c r="F6" s="0" t="n">
        <v>0.873</v>
      </c>
      <c r="G6" s="0" t="n">
        <v>0.882</v>
      </c>
      <c r="H6" s="0" t="n">
        <v>0.8853</v>
      </c>
      <c r="I6" s="0" t="n">
        <v>0.8777</v>
      </c>
      <c r="J6" s="0" t="n">
        <v>0.8794</v>
      </c>
    </row>
    <row r="7" customFormat="false" ht="12.85" hidden="false" customHeight="true" outlineLevel="0" collapsed="false">
      <c r="A7" s="5" t="n">
        <v>2</v>
      </c>
      <c r="B7" s="0" t="s">
        <v>15</v>
      </c>
      <c r="C7" s="6" t="s">
        <v>16</v>
      </c>
      <c r="D7" s="7" t="s">
        <v>17</v>
      </c>
      <c r="E7" s="0" t="n">
        <v>0.5125</v>
      </c>
      <c r="F7" s="0" t="n">
        <v>0.7596</v>
      </c>
      <c r="G7" s="0" t="n">
        <v>0.8589</v>
      </c>
      <c r="H7" s="0" t="n">
        <v>0.874</v>
      </c>
      <c r="I7" s="0" t="n">
        <v>0.8731</v>
      </c>
      <c r="J7" s="0" t="n">
        <v>0.8674</v>
      </c>
    </row>
    <row r="8" customFormat="false" ht="12.85" hidden="false" customHeight="true" outlineLevel="0" collapsed="false">
      <c r="A8" s="5" t="n">
        <v>3</v>
      </c>
      <c r="B8" s="0" t="s">
        <v>18</v>
      </c>
      <c r="C8" s="6" t="s">
        <v>19</v>
      </c>
      <c r="D8" s="7" t="s">
        <v>20</v>
      </c>
      <c r="E8" s="0" t="n">
        <v>0.4293</v>
      </c>
      <c r="F8" s="0" t="n">
        <v>0.7465</v>
      </c>
      <c r="G8" s="0" t="n">
        <v>0.9009</v>
      </c>
      <c r="H8" s="0" t="n">
        <v>0.8709</v>
      </c>
      <c r="I8" s="0" t="n">
        <v>0.8678</v>
      </c>
      <c r="J8" s="0" t="n">
        <v>0.8992</v>
      </c>
    </row>
    <row r="9" customFormat="false" ht="12.85" hidden="false" customHeight="true" outlineLevel="0" collapsed="false">
      <c r="A9" s="5" t="n">
        <v>4</v>
      </c>
      <c r="B9" s="0" t="s">
        <v>21</v>
      </c>
      <c r="C9" s="6" t="s">
        <v>22</v>
      </c>
      <c r="D9" s="7" t="s">
        <v>23</v>
      </c>
      <c r="E9" s="0" t="n">
        <v>0.4935</v>
      </c>
      <c r="F9" s="0" t="n">
        <v>0.8466</v>
      </c>
      <c r="G9" s="0" t="n">
        <v>0.8488</v>
      </c>
      <c r="H9" s="0" t="n">
        <v>0.8588</v>
      </c>
      <c r="I9" s="0" t="n">
        <v>0.8759</v>
      </c>
      <c r="J9" s="0" t="n">
        <v>0.8973</v>
      </c>
    </row>
    <row r="10" customFormat="false" ht="12.85" hidden="false" customHeight="true" outlineLevel="0" collapsed="false">
      <c r="A10" s="5" t="n">
        <v>5</v>
      </c>
      <c r="B10" s="0" t="s">
        <v>24</v>
      </c>
      <c r="C10" s="6" t="s">
        <v>25</v>
      </c>
      <c r="D10" s="7" t="s">
        <v>26</v>
      </c>
      <c r="E10" s="0" t="n">
        <v>0.5048</v>
      </c>
      <c r="F10" s="0" t="n">
        <v>0.7453</v>
      </c>
      <c r="G10" s="0" t="n">
        <v>0.8965</v>
      </c>
      <c r="H10" s="0" t="n">
        <v>0.846</v>
      </c>
      <c r="I10" s="0" t="n">
        <v>0.8662</v>
      </c>
      <c r="J10" s="0" t="n">
        <v>0.8791</v>
      </c>
    </row>
    <row r="11" customFormat="false" ht="12.85" hidden="false" customHeight="true" outlineLevel="0" collapsed="false">
      <c r="A11" s="5" t="n">
        <v>6</v>
      </c>
      <c r="B11" s="0" t="s">
        <v>27</v>
      </c>
      <c r="C11" s="6" t="s">
        <v>28</v>
      </c>
      <c r="D11" s="7" t="s">
        <v>29</v>
      </c>
      <c r="E11" s="0" t="n">
        <v>0.5416</v>
      </c>
      <c r="F11" s="0" t="n">
        <v>0.8425</v>
      </c>
      <c r="G11" s="0" t="n">
        <v>0.9128</v>
      </c>
      <c r="H11" s="0" t="n">
        <v>0.8579</v>
      </c>
      <c r="I11" s="0" t="n">
        <v>0.8739</v>
      </c>
      <c r="J11" s="0" t="n">
        <v>0.9042</v>
      </c>
    </row>
    <row r="12" customFormat="false" ht="12.85" hidden="false" customHeight="true" outlineLevel="0" collapsed="false">
      <c r="A12" s="5" t="n">
        <v>7</v>
      </c>
      <c r="B12" s="0" t="s">
        <v>30</v>
      </c>
      <c r="C12" s="6" t="s">
        <v>31</v>
      </c>
      <c r="D12" s="7" t="s">
        <v>32</v>
      </c>
      <c r="E12" s="0" t="n">
        <v>0.5468</v>
      </c>
      <c r="F12" s="0" t="n">
        <v>0.6903</v>
      </c>
      <c r="G12" s="0" t="n">
        <v>0.8623</v>
      </c>
      <c r="H12" s="0" t="n">
        <v>0.8605</v>
      </c>
      <c r="I12" s="0" t="n">
        <v>0.8616</v>
      </c>
      <c r="J12" s="0" t="n">
        <v>0.9107</v>
      </c>
    </row>
    <row r="13" customFormat="false" ht="12.85" hidden="false" customHeight="true" outlineLevel="0" collapsed="false">
      <c r="A13" s="5" t="n">
        <v>8</v>
      </c>
      <c r="B13" s="0" t="s">
        <v>33</v>
      </c>
      <c r="C13" s="6" t="s">
        <v>34</v>
      </c>
      <c r="D13" s="7" t="s">
        <v>35</v>
      </c>
      <c r="E13" s="0" t="n">
        <v>0.5994</v>
      </c>
      <c r="F13" s="0" t="n">
        <v>0.836</v>
      </c>
      <c r="G13" s="0" t="n">
        <v>0.9048</v>
      </c>
      <c r="H13" s="0" t="n">
        <v>0.8643</v>
      </c>
      <c r="I13" s="0" t="n">
        <v>0.8661</v>
      </c>
      <c r="J13" s="0" t="n">
        <v>0.8914</v>
      </c>
    </row>
    <row r="14" customFormat="false" ht="12.85" hidden="false" customHeight="true" outlineLevel="0" collapsed="false">
      <c r="A14" s="5" t="n">
        <v>9</v>
      </c>
      <c r="B14" s="0" t="s">
        <v>36</v>
      </c>
      <c r="C14" s="6" t="s">
        <v>37</v>
      </c>
      <c r="D14" s="7" t="s">
        <v>38</v>
      </c>
      <c r="E14" s="0" t="n">
        <v>0.2817</v>
      </c>
      <c r="F14" s="0" t="n">
        <v>0.7247</v>
      </c>
      <c r="G14" s="0" t="n">
        <v>0.8973</v>
      </c>
      <c r="H14" s="0" t="n">
        <v>0.8599</v>
      </c>
      <c r="I14" s="0" t="n">
        <v>0.8629</v>
      </c>
      <c r="J14" s="0" t="n">
        <v>0.8951</v>
      </c>
    </row>
    <row r="15" customFormat="false" ht="12.85" hidden="false" customHeight="true" outlineLevel="0" collapsed="false">
      <c r="A15" s="5" t="n">
        <v>10</v>
      </c>
      <c r="B15" s="0" t="s">
        <v>39</v>
      </c>
      <c r="C15" s="6" t="s">
        <v>40</v>
      </c>
      <c r="D15" s="7" t="s">
        <v>41</v>
      </c>
      <c r="E15" s="0" t="n">
        <v>0.5514</v>
      </c>
      <c r="F15" s="0" t="n">
        <v>0.8079</v>
      </c>
      <c r="G15" s="0" t="n">
        <v>0.9226</v>
      </c>
      <c r="H15" s="0" t="n">
        <v>0.8593</v>
      </c>
      <c r="I15" s="0" t="n">
        <v>0.8744</v>
      </c>
      <c r="J15" s="0" t="n">
        <v>0.9154</v>
      </c>
    </row>
    <row r="16" customFormat="false" ht="12.85" hidden="false" customHeight="true" outlineLevel="0" collapsed="false">
      <c r="A16" s="5" t="n">
        <v>11</v>
      </c>
      <c r="B16" s="0" t="s">
        <v>42</v>
      </c>
      <c r="C16" s="6" t="s">
        <v>43</v>
      </c>
      <c r="D16" s="7" t="s">
        <v>44</v>
      </c>
      <c r="E16" s="0" t="n">
        <v>0.4815</v>
      </c>
      <c r="F16" s="0" t="n">
        <v>0.6579</v>
      </c>
      <c r="G16" s="0" t="n">
        <v>0.8606</v>
      </c>
      <c r="H16" s="0" t="n">
        <v>0.8576</v>
      </c>
      <c r="I16" s="0" t="n">
        <v>0.8527</v>
      </c>
      <c r="J16" s="0" t="n">
        <v>0.8818</v>
      </c>
    </row>
    <row r="17" customFormat="false" ht="12.85" hidden="false" customHeight="true" outlineLevel="0" collapsed="false">
      <c r="A17" s="5" t="n">
        <v>12</v>
      </c>
      <c r="B17" s="0" t="s">
        <v>45</v>
      </c>
      <c r="C17" s="6" t="s">
        <v>46</v>
      </c>
      <c r="D17" s="7" t="s">
        <v>47</v>
      </c>
      <c r="E17" s="0" t="n">
        <v>0.571</v>
      </c>
      <c r="F17" s="0" t="n">
        <v>0.7544</v>
      </c>
      <c r="G17" s="0" t="n">
        <v>0.8744</v>
      </c>
      <c r="H17" s="0" t="n">
        <v>0.8581</v>
      </c>
      <c r="I17" s="0" t="n">
        <v>0.8611</v>
      </c>
      <c r="J17" s="0" t="n">
        <v>0.8946</v>
      </c>
    </row>
    <row r="18" customFormat="false" ht="12.85" hidden="false" customHeight="true" outlineLevel="0" collapsed="false">
      <c r="A18" s="5" t="n">
        <v>13</v>
      </c>
      <c r="B18" s="0" t="s">
        <v>48</v>
      </c>
      <c r="C18" s="6" t="s">
        <v>49</v>
      </c>
      <c r="D18" s="7" t="s">
        <v>50</v>
      </c>
      <c r="E18" s="0" t="n">
        <v>0.564</v>
      </c>
      <c r="F18" s="0" t="n">
        <v>0.7977</v>
      </c>
      <c r="G18" s="0" t="n">
        <v>0.8151</v>
      </c>
      <c r="H18" s="0" t="n">
        <v>0.8635</v>
      </c>
      <c r="I18" s="0" t="n">
        <v>0.867</v>
      </c>
      <c r="J18" s="0" t="n">
        <v>0.8954</v>
      </c>
    </row>
    <row r="19" customFormat="false" ht="12.85" hidden="false" customHeight="true" outlineLevel="0" collapsed="false">
      <c r="A19" s="5" t="n">
        <v>14</v>
      </c>
      <c r="B19" s="0" t="s">
        <v>51</v>
      </c>
      <c r="C19" s="6" t="s">
        <v>52</v>
      </c>
      <c r="D19" s="7" t="s">
        <v>53</v>
      </c>
      <c r="E19" s="0" t="n">
        <v>0.6312</v>
      </c>
      <c r="F19" s="0" t="n">
        <v>0.8025</v>
      </c>
      <c r="G19" s="0" t="n">
        <v>0.8887</v>
      </c>
      <c r="H19" s="0" t="n">
        <v>0.8799</v>
      </c>
      <c r="I19" s="0" t="n">
        <v>0.8751</v>
      </c>
      <c r="J19" s="0" t="n">
        <v>0.9097</v>
      </c>
    </row>
    <row r="20" customFormat="false" ht="12.85" hidden="false" customHeight="true" outlineLevel="0" collapsed="false">
      <c r="A20" s="5" t="n">
        <v>15</v>
      </c>
      <c r="B20" s="0" t="s">
        <v>54</v>
      </c>
      <c r="C20" s="6" t="s">
        <v>55</v>
      </c>
      <c r="D20" s="7" t="s">
        <v>56</v>
      </c>
      <c r="E20" s="0" t="n">
        <v>0.5754</v>
      </c>
      <c r="F20" s="0" t="n">
        <v>0.8559</v>
      </c>
      <c r="G20" s="0" t="n">
        <v>0.9036</v>
      </c>
      <c r="H20" s="0" t="n">
        <v>0.8623</v>
      </c>
      <c r="I20" s="0" t="n">
        <v>0.884</v>
      </c>
      <c r="J20" s="0" t="n">
        <v>0.8929</v>
      </c>
    </row>
    <row r="22" customFormat="false" ht="13.8" hidden="false" customHeight="false" outlineLevel="0" collapsed="false">
      <c r="D22" s="8"/>
      <c r="E22" s="9" t="n">
        <f aca="false">AVERAGE(E6:E20)</f>
        <v>0.532486666666667</v>
      </c>
      <c r="F22" s="9" t="n">
        <f aca="false">AVERAGE(F6:F20)</f>
        <v>0.78272</v>
      </c>
      <c r="G22" s="9" t="n">
        <f aca="false">AVERAGE(G6:G20)</f>
        <v>0.881953333333333</v>
      </c>
      <c r="H22" s="9" t="n">
        <f aca="false">AVERAGE(H6:H20)</f>
        <v>0.863886666666667</v>
      </c>
      <c r="I22" s="9" t="n">
        <f aca="false">AVERAGE(I6:I20)</f>
        <v>0.8693</v>
      </c>
      <c r="J22" s="9" t="n">
        <f aca="false">AVERAGE(J6:J20)</f>
        <v>0.89424</v>
      </c>
    </row>
    <row r="23" customFormat="false" ht="13.8" hidden="false" customHeight="false" outlineLevel="0" collapsed="false">
      <c r="D23" s="8"/>
      <c r="E23" s="9" t="n">
        <f aca="false">_xlfn.STDEV.S(E6:E20)</f>
        <v>0.0953022924822953</v>
      </c>
      <c r="F23" s="9" t="n">
        <f aca="false">_xlfn.STDEV.S(F6:F20)</f>
        <v>0.0636873187646377</v>
      </c>
      <c r="G23" s="9" t="n">
        <f aca="false">_xlfn.STDEV.S(G6:G20)</f>
        <v>0.0285920535080907</v>
      </c>
      <c r="H23" s="9" t="n">
        <f aca="false">_xlfn.STDEV.S(H6:H20)</f>
        <v>0.00990063970997161</v>
      </c>
      <c r="I23" s="9" t="n">
        <f aca="false">_xlfn.STDEV.S(I6:I20)</f>
        <v>0.00799955355897172</v>
      </c>
      <c r="J23" s="9" t="n">
        <f aca="false">_xlfn.STDEV.S(J6:J20)</f>
        <v>0.0131679155525846</v>
      </c>
    </row>
    <row r="24" customFormat="false" ht="13.8" hidden="false" customHeight="false" outlineLevel="0" collapsed="false">
      <c r="D24" s="8"/>
      <c r="E24" s="9" t="n">
        <f aca="false">MEDIAN(E6:E20)</f>
        <v>0.5468</v>
      </c>
      <c r="F24" s="9" t="n">
        <f aca="false">MEDIAN(F6:F20)</f>
        <v>0.7977</v>
      </c>
      <c r="G24" s="9" t="n">
        <f aca="false">MEDIAN(G6:G20)</f>
        <v>0.8887</v>
      </c>
      <c r="H24" s="9" t="n">
        <f aca="false">MEDIAN(H6:H20)</f>
        <v>0.8605</v>
      </c>
      <c r="I24" s="9" t="n">
        <f aca="false">MEDIAN(I6:I20)</f>
        <v>0.8678</v>
      </c>
      <c r="J24" s="9" t="n">
        <f aca="false">MEDIAN(J6:J20)</f>
        <v>0.8951</v>
      </c>
    </row>
    <row r="25" customFormat="false" ht="13.8" hidden="false" customHeight="false" outlineLevel="0" collapsed="false">
      <c r="D25" s="8"/>
      <c r="E25" s="9" t="n">
        <f aca="false">E23/E22</f>
        <v>0.178975922681561</v>
      </c>
      <c r="F25" s="9" t="n">
        <f aca="false">F23/F22</f>
        <v>0.0813666684952955</v>
      </c>
      <c r="G25" s="9" t="n">
        <f aca="false">G23/G22</f>
        <v>0.0324190095183691</v>
      </c>
      <c r="H25" s="9" t="n">
        <f aca="false">H23/H22</f>
        <v>0.0114605770548277</v>
      </c>
      <c r="I25" s="9" t="n">
        <f aca="false">I23/I22</f>
        <v>0.00920229329227162</v>
      </c>
      <c r="J25" s="9" t="n">
        <f aca="false">J23/J22</f>
        <v>0.0147252589378518</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C1" colorId="64" zoomScale="91" zoomScaleNormal="91" zoomScalePageLayoutView="100" workbookViewId="0">
      <selection pane="topLeft" activeCell="I4" activeCellId="0" sqref="I4"/>
    </sheetView>
  </sheetViews>
  <sheetFormatPr defaultColWidth="10.5859375" defaultRowHeight="13.8" zeroHeight="false" outlineLevelRow="0" outlineLevelCol="0"/>
  <cols>
    <col collapsed="false" customWidth="true" hidden="false" outlineLevel="0" max="1" min="1" style="0" width="24.45"/>
    <col collapsed="false" customWidth="true" hidden="false" outlineLevel="0" max="2" min="2" style="0" width="158.66"/>
    <col collapsed="false" customWidth="true" hidden="false" outlineLevel="0" max="3" min="3" style="0" width="23.45"/>
    <col collapsed="false" customWidth="true" hidden="false" outlineLevel="0" max="4" min="4" style="0" width="24"/>
    <col collapsed="false" customWidth="true" hidden="false" outlineLevel="0" max="5" min="5" style="0" width="19.55"/>
    <col collapsed="false" customWidth="true" hidden="false" outlineLevel="0" max="6" min="6" style="0" width="23.68"/>
    <col collapsed="false" customWidth="true" hidden="false" outlineLevel="0" max="7" min="7" style="0" width="16.6"/>
    <col collapsed="false" customWidth="true" hidden="false" outlineLevel="0" max="12" min="9" style="0" width="27.02"/>
  </cols>
  <sheetData>
    <row r="1" customFormat="false" ht="13.8" hidden="false" customHeight="false" outlineLevel="0" collapsed="false">
      <c r="A1" s="10" t="s">
        <v>57</v>
      </c>
      <c r="B1" s="10" t="s">
        <v>58</v>
      </c>
      <c r="C1" s="10" t="s">
        <v>59</v>
      </c>
      <c r="D1" s="10" t="s">
        <v>60</v>
      </c>
      <c r="E1" s="10" t="s">
        <v>61</v>
      </c>
    </row>
    <row r="2" customFormat="false" ht="13.8" hidden="false" customHeight="false" outlineLevel="0" collapsed="false">
      <c r="A2" s="1" t="s">
        <v>62</v>
      </c>
    </row>
    <row r="4" customFormat="false" ht="13.8" hidden="false" customHeight="false" outlineLevel="0" collapsed="false">
      <c r="A4" s="11" t="s">
        <v>5</v>
      </c>
      <c r="B4" s="11" t="s">
        <v>63</v>
      </c>
      <c r="C4" s="11" t="s">
        <v>64</v>
      </c>
      <c r="D4" s="11" t="s">
        <v>65</v>
      </c>
      <c r="E4" s="11" t="s">
        <v>66</v>
      </c>
      <c r="F4" s="11" t="s">
        <v>67</v>
      </c>
      <c r="I4" s="7" t="s">
        <v>68</v>
      </c>
      <c r="J4" s="7"/>
    </row>
    <row r="5" customFormat="false" ht="13.8" hidden="false" customHeight="false" outlineLevel="0" collapsed="false">
      <c r="A5" s="5" t="s">
        <v>69</v>
      </c>
      <c r="B5" s="0" t="s">
        <v>70</v>
      </c>
      <c r="C5" s="5" t="n">
        <v>4</v>
      </c>
      <c r="D5" s="5" t="n">
        <v>0</v>
      </c>
      <c r="E5" s="5" t="n">
        <v>4</v>
      </c>
      <c r="F5" s="5" t="n">
        <v>4</v>
      </c>
      <c r="I5" s="12" t="s">
        <v>71</v>
      </c>
      <c r="J5" s="12"/>
      <c r="K5" s="12" t="s">
        <v>72</v>
      </c>
      <c r="L5" s="12"/>
    </row>
    <row r="6" customFormat="false" ht="13.8" hidden="false" customHeight="false" outlineLevel="0" collapsed="false">
      <c r="A6" s="5" t="s">
        <v>73</v>
      </c>
      <c r="B6" s="0" t="s">
        <v>74</v>
      </c>
      <c r="C6" s="5" t="n">
        <v>4</v>
      </c>
      <c r="D6" s="5" t="n">
        <v>0</v>
      </c>
      <c r="E6" s="5" t="n">
        <v>4</v>
      </c>
      <c r="F6" s="5" t="n">
        <v>4</v>
      </c>
      <c r="I6" s="0" t="s">
        <v>75</v>
      </c>
      <c r="J6" s="0" t="s">
        <v>76</v>
      </c>
      <c r="K6" s="0" t="s">
        <v>75</v>
      </c>
      <c r="L6" s="0" t="s">
        <v>76</v>
      </c>
    </row>
    <row r="7" customFormat="false" ht="13.8" hidden="false" customHeight="false" outlineLevel="0" collapsed="false">
      <c r="A7" s="5" t="s">
        <v>77</v>
      </c>
      <c r="B7" s="0" t="s">
        <v>78</v>
      </c>
      <c r="C7" s="5" t="n">
        <v>4</v>
      </c>
      <c r="D7" s="5" t="n">
        <v>0</v>
      </c>
      <c r="E7" s="5" t="n">
        <v>4</v>
      </c>
      <c r="F7" s="5" t="n">
        <v>4</v>
      </c>
      <c r="I7" s="0" t="n">
        <v>15</v>
      </c>
      <c r="J7" s="0" t="n">
        <v>0</v>
      </c>
      <c r="K7" s="0" t="n">
        <v>6</v>
      </c>
      <c r="L7" s="0" t="n">
        <v>9</v>
      </c>
    </row>
    <row r="8" customFormat="false" ht="13.8" hidden="false" customHeight="false" outlineLevel="0" collapsed="false">
      <c r="A8" s="5" t="s">
        <v>79</v>
      </c>
      <c r="B8" s="0" t="s">
        <v>80</v>
      </c>
      <c r="C8" s="5" t="n">
        <v>4</v>
      </c>
      <c r="D8" s="5" t="n">
        <v>0</v>
      </c>
      <c r="E8" s="5" t="n">
        <v>4</v>
      </c>
      <c r="F8" s="5" t="n">
        <v>4</v>
      </c>
    </row>
    <row r="9" customFormat="false" ht="13.8" hidden="false" customHeight="false" outlineLevel="0" collapsed="false">
      <c r="A9" s="5" t="s">
        <v>81</v>
      </c>
      <c r="B9" s="0" t="s">
        <v>82</v>
      </c>
      <c r="C9" s="5" t="n">
        <v>4</v>
      </c>
      <c r="D9" s="5" t="n">
        <v>0</v>
      </c>
      <c r="E9" s="5" t="n">
        <v>4</v>
      </c>
      <c r="F9" s="5" t="n">
        <v>4</v>
      </c>
    </row>
    <row r="10" customFormat="false" ht="13.8" hidden="false" customHeight="false" outlineLevel="0" collapsed="false">
      <c r="A10" s="5" t="s">
        <v>83</v>
      </c>
      <c r="B10" s="0" t="s">
        <v>84</v>
      </c>
      <c r="C10" s="5" t="n">
        <v>4</v>
      </c>
      <c r="D10" s="5" t="n">
        <v>0</v>
      </c>
      <c r="E10" s="5" t="n">
        <v>4</v>
      </c>
      <c r="F10" s="5" t="n">
        <v>4</v>
      </c>
    </row>
    <row r="11" customFormat="false" ht="13.8" hidden="false" customHeight="false" outlineLevel="0" collapsed="false">
      <c r="A11" s="5" t="s">
        <v>85</v>
      </c>
      <c r="B11" s="0" t="s">
        <v>86</v>
      </c>
      <c r="C11" s="5" t="n">
        <v>4</v>
      </c>
      <c r="D11" s="5" t="n">
        <v>0</v>
      </c>
      <c r="E11" s="5" t="n">
        <v>4</v>
      </c>
      <c r="F11" s="5" t="n">
        <v>4</v>
      </c>
    </row>
    <row r="12" customFormat="false" ht="13.8" hidden="false" customHeight="false" outlineLevel="0" collapsed="false">
      <c r="A12" s="5" t="s">
        <v>87</v>
      </c>
      <c r="B12" s="0" t="s">
        <v>88</v>
      </c>
      <c r="C12" s="5" t="n">
        <v>3</v>
      </c>
      <c r="D12" s="5" t="n">
        <v>0</v>
      </c>
      <c r="E12" s="5" t="n">
        <v>3</v>
      </c>
      <c r="F12" s="5" t="n">
        <v>3</v>
      </c>
    </row>
    <row r="13" customFormat="false" ht="13.8" hidden="false" customHeight="false" outlineLevel="0" collapsed="false">
      <c r="A13" s="5" t="s">
        <v>89</v>
      </c>
      <c r="B13" s="0" t="s">
        <v>90</v>
      </c>
      <c r="C13" s="5" t="n">
        <v>4</v>
      </c>
      <c r="D13" s="5" t="n">
        <v>0</v>
      </c>
      <c r="E13" s="5" t="n">
        <v>4</v>
      </c>
      <c r="F13" s="5" t="n">
        <v>4</v>
      </c>
    </row>
    <row r="14" customFormat="false" ht="13.8" hidden="false" customHeight="false" outlineLevel="0" collapsed="false">
      <c r="A14" s="5" t="s">
        <v>91</v>
      </c>
      <c r="B14" s="0" t="s">
        <v>92</v>
      </c>
      <c r="C14" s="5" t="n">
        <v>4</v>
      </c>
      <c r="D14" s="5" t="n">
        <v>0</v>
      </c>
      <c r="E14" s="5" t="n">
        <v>4</v>
      </c>
      <c r="F14" s="5" t="n">
        <v>4</v>
      </c>
    </row>
    <row r="15" customFormat="false" ht="13.8" hidden="false" customHeight="false" outlineLevel="0" collapsed="false">
      <c r="A15" s="5" t="s">
        <v>93</v>
      </c>
      <c r="B15" s="0" t="s">
        <v>94</v>
      </c>
      <c r="C15" s="5" t="n">
        <v>4</v>
      </c>
      <c r="D15" s="5" t="n">
        <v>0</v>
      </c>
      <c r="E15" s="5" t="n">
        <v>4</v>
      </c>
      <c r="F15" s="5" t="n">
        <v>4</v>
      </c>
    </row>
    <row r="16" customFormat="false" ht="13.8" hidden="false" customHeight="false" outlineLevel="0" collapsed="false">
      <c r="A16" s="5" t="s">
        <v>95</v>
      </c>
      <c r="B16" s="0" t="s">
        <v>74</v>
      </c>
      <c r="C16" s="5" t="n">
        <v>4</v>
      </c>
      <c r="D16" s="5" t="n">
        <v>0</v>
      </c>
      <c r="E16" s="5" t="n">
        <v>4</v>
      </c>
      <c r="F16" s="5" t="n">
        <v>4</v>
      </c>
    </row>
    <row r="17" customFormat="false" ht="13.8" hidden="false" customHeight="false" outlineLevel="0" collapsed="false">
      <c r="A17" s="5" t="s">
        <v>96</v>
      </c>
      <c r="B17" s="0" t="s">
        <v>97</v>
      </c>
      <c r="C17" s="5" t="n">
        <v>2</v>
      </c>
      <c r="D17" s="5" t="n">
        <v>0</v>
      </c>
      <c r="E17" s="5" t="n">
        <v>2</v>
      </c>
      <c r="F17" s="5" t="n">
        <v>2</v>
      </c>
    </row>
    <row r="18" customFormat="false" ht="13.8" hidden="false" customHeight="false" outlineLevel="0" collapsed="false">
      <c r="A18" s="5" t="s">
        <v>98</v>
      </c>
      <c r="B18" s="0" t="s">
        <v>70</v>
      </c>
      <c r="C18" s="5" t="n">
        <v>4</v>
      </c>
      <c r="D18" s="5" t="n">
        <v>0</v>
      </c>
      <c r="E18" s="5" t="n">
        <v>4</v>
      </c>
      <c r="F18" s="5" t="n">
        <v>4</v>
      </c>
    </row>
    <row r="19" customFormat="false" ht="13.8" hidden="false" customHeight="false" outlineLevel="0" collapsed="false">
      <c r="A19" s="5" t="s">
        <v>99</v>
      </c>
      <c r="B19" s="0" t="s">
        <v>100</v>
      </c>
      <c r="C19" s="5" t="n">
        <v>4</v>
      </c>
      <c r="D19" s="5" t="n">
        <v>0</v>
      </c>
      <c r="E19" s="5" t="n">
        <v>4</v>
      </c>
      <c r="F19" s="5" t="n">
        <v>4</v>
      </c>
    </row>
    <row r="21" customFormat="false" ht="13.8" hidden="false" customHeight="false" outlineLevel="0" collapsed="false">
      <c r="B21" s="8" t="s">
        <v>101</v>
      </c>
      <c r="C21" s="13" t="n">
        <f aca="false">SUM(C5:C19)</f>
        <v>57</v>
      </c>
      <c r="D21" s="13" t="n">
        <f aca="false">SUM(D5:D19)</f>
        <v>0</v>
      </c>
      <c r="E21" s="13" t="n">
        <f aca="false">SUM(E5:E19)</f>
        <v>57</v>
      </c>
      <c r="F21" s="13" t="n">
        <f aca="false">SUM(F5:F19)</f>
        <v>57</v>
      </c>
    </row>
    <row r="22" customFormat="false" ht="13.8" hidden="false" customHeight="false" outlineLevel="0" collapsed="false">
      <c r="B22" s="8" t="s">
        <v>102</v>
      </c>
      <c r="C22" s="14"/>
      <c r="D22" s="14" t="n">
        <f aca="false">D21/C21*100</f>
        <v>0</v>
      </c>
      <c r="E22" s="14" t="n">
        <f aca="false">E21/C21*100</f>
        <v>100</v>
      </c>
      <c r="F22" s="14"/>
    </row>
    <row r="34" customFormat="false" ht="13.8" hidden="false" customHeight="false" outlineLevel="0" collapsed="false">
      <c r="A34" s="11" t="s">
        <v>5</v>
      </c>
      <c r="B34" s="11" t="s">
        <v>103</v>
      </c>
      <c r="C34" s="11" t="s">
        <v>64</v>
      </c>
      <c r="D34" s="11" t="s">
        <v>65</v>
      </c>
      <c r="E34" s="11" t="s">
        <v>66</v>
      </c>
      <c r="F34" s="11" t="s">
        <v>67</v>
      </c>
    </row>
    <row r="35" customFormat="false" ht="13.8" hidden="false" customHeight="false" outlineLevel="0" collapsed="false">
      <c r="A35" s="5" t="s">
        <v>69</v>
      </c>
      <c r="B35" s="0" t="s">
        <v>104</v>
      </c>
      <c r="C35" s="5" t="n">
        <v>2</v>
      </c>
      <c r="D35" s="5" t="n">
        <v>0</v>
      </c>
      <c r="E35" s="5" t="n">
        <v>2</v>
      </c>
      <c r="F35" s="5" t="n">
        <v>2</v>
      </c>
    </row>
    <row r="36" customFormat="false" ht="13.8" hidden="false" customHeight="false" outlineLevel="0" collapsed="false">
      <c r="A36" s="5" t="s">
        <v>73</v>
      </c>
      <c r="B36" s="0" t="s">
        <v>105</v>
      </c>
      <c r="C36" s="5" t="n">
        <v>2</v>
      </c>
      <c r="D36" s="5" t="n">
        <v>0</v>
      </c>
      <c r="E36" s="5" t="n">
        <v>2</v>
      </c>
      <c r="F36" s="5" t="n">
        <v>2</v>
      </c>
    </row>
    <row r="37" customFormat="false" ht="13.8" hidden="false" customHeight="false" outlineLevel="0" collapsed="false">
      <c r="A37" s="5" t="s">
        <v>77</v>
      </c>
      <c r="B37" s="0" t="s">
        <v>106</v>
      </c>
      <c r="C37" s="5" t="n">
        <v>3</v>
      </c>
      <c r="D37" s="5" t="n">
        <v>1</v>
      </c>
      <c r="E37" s="5" t="n">
        <v>2</v>
      </c>
      <c r="F37" s="5" t="n">
        <v>4</v>
      </c>
    </row>
    <row r="38" customFormat="false" ht="13.8" hidden="false" customHeight="false" outlineLevel="0" collapsed="false">
      <c r="A38" s="5" t="s">
        <v>79</v>
      </c>
      <c r="B38" s="0" t="s">
        <v>107</v>
      </c>
      <c r="C38" s="5" t="n">
        <v>2</v>
      </c>
      <c r="D38" s="5" t="n">
        <v>1</v>
      </c>
      <c r="E38" s="5" t="n">
        <v>1</v>
      </c>
      <c r="F38" s="5" t="n">
        <v>3</v>
      </c>
    </row>
    <row r="39" customFormat="false" ht="13.8" hidden="false" customHeight="false" outlineLevel="0" collapsed="false">
      <c r="A39" s="5" t="s">
        <v>81</v>
      </c>
      <c r="B39" s="0" t="s">
        <v>108</v>
      </c>
      <c r="C39" s="5" t="n">
        <v>2</v>
      </c>
      <c r="D39" s="5" t="n">
        <v>0</v>
      </c>
      <c r="E39" s="5" t="n">
        <v>2</v>
      </c>
      <c r="F39" s="5" t="n">
        <v>2</v>
      </c>
    </row>
    <row r="40" customFormat="false" ht="13.8" hidden="false" customHeight="false" outlineLevel="0" collapsed="false">
      <c r="A40" s="5" t="s">
        <v>83</v>
      </c>
      <c r="B40" s="0" t="s">
        <v>109</v>
      </c>
      <c r="C40" s="5" t="n">
        <v>4</v>
      </c>
      <c r="D40" s="5" t="n">
        <v>2</v>
      </c>
      <c r="E40" s="5" t="n">
        <v>2</v>
      </c>
      <c r="F40" s="5" t="n">
        <v>4</v>
      </c>
    </row>
    <row r="41" customFormat="false" ht="13.8" hidden="false" customHeight="false" outlineLevel="0" collapsed="false">
      <c r="A41" s="5" t="s">
        <v>85</v>
      </c>
      <c r="B41" s="0" t="s">
        <v>110</v>
      </c>
      <c r="C41" s="5" t="n">
        <v>3</v>
      </c>
      <c r="D41" s="5" t="n">
        <v>1</v>
      </c>
      <c r="E41" s="5" t="n">
        <v>2</v>
      </c>
      <c r="F41" s="5" t="n">
        <v>4</v>
      </c>
    </row>
    <row r="42" customFormat="false" ht="13.8" hidden="false" customHeight="false" outlineLevel="0" collapsed="false">
      <c r="A42" s="5" t="s">
        <v>87</v>
      </c>
      <c r="B42" s="0" t="s">
        <v>111</v>
      </c>
      <c r="C42" s="5" t="n">
        <v>3</v>
      </c>
      <c r="D42" s="5" t="n">
        <v>0</v>
      </c>
      <c r="E42" s="5" t="n">
        <v>3</v>
      </c>
      <c r="F42" s="5" t="n">
        <v>3</v>
      </c>
    </row>
    <row r="43" customFormat="false" ht="13.8" hidden="false" customHeight="false" outlineLevel="0" collapsed="false">
      <c r="A43" s="5" t="s">
        <v>89</v>
      </c>
      <c r="B43" s="0" t="s">
        <v>112</v>
      </c>
      <c r="C43" s="5" t="n">
        <v>3</v>
      </c>
      <c r="D43" s="5" t="n">
        <v>3</v>
      </c>
      <c r="E43" s="5" t="n">
        <v>0</v>
      </c>
      <c r="F43" s="5" t="n">
        <v>4</v>
      </c>
    </row>
    <row r="44" customFormat="false" ht="13.8" hidden="false" customHeight="false" outlineLevel="0" collapsed="false">
      <c r="A44" s="5" t="s">
        <v>91</v>
      </c>
      <c r="B44" s="0" t="s">
        <v>113</v>
      </c>
      <c r="C44" s="5" t="n">
        <v>2</v>
      </c>
      <c r="D44" s="5" t="n">
        <v>0</v>
      </c>
      <c r="E44" s="5" t="n">
        <v>2</v>
      </c>
      <c r="F44" s="5" t="n">
        <v>2</v>
      </c>
    </row>
    <row r="45" customFormat="false" ht="13.8" hidden="false" customHeight="false" outlineLevel="0" collapsed="false">
      <c r="A45" s="5" t="s">
        <v>93</v>
      </c>
      <c r="B45" s="0" t="s">
        <v>114</v>
      </c>
      <c r="C45" s="5" t="n">
        <v>3</v>
      </c>
      <c r="D45" s="5" t="n">
        <v>1</v>
      </c>
      <c r="E45" s="5" t="n">
        <v>2</v>
      </c>
      <c r="F45" s="5" t="n">
        <v>4</v>
      </c>
    </row>
    <row r="46" customFormat="false" ht="13.8" hidden="false" customHeight="false" outlineLevel="0" collapsed="false">
      <c r="A46" s="5" t="s">
        <v>95</v>
      </c>
      <c r="B46" s="0" t="s">
        <v>115</v>
      </c>
      <c r="C46" s="5" t="n">
        <v>3</v>
      </c>
      <c r="D46" s="5" t="n">
        <v>1</v>
      </c>
      <c r="E46" s="5" t="n">
        <v>2</v>
      </c>
      <c r="F46" s="5" t="n">
        <v>4</v>
      </c>
    </row>
    <row r="47" customFormat="false" ht="13.8" hidden="false" customHeight="false" outlineLevel="0" collapsed="false">
      <c r="A47" s="5" t="s">
        <v>96</v>
      </c>
      <c r="B47" s="0" t="s">
        <v>116</v>
      </c>
      <c r="C47" s="5" t="n">
        <v>4</v>
      </c>
      <c r="D47" s="5" t="n">
        <v>4</v>
      </c>
      <c r="E47" s="5" t="n">
        <v>0</v>
      </c>
      <c r="F47" s="5" t="n">
        <v>4</v>
      </c>
    </row>
    <row r="48" customFormat="false" ht="13.8" hidden="false" customHeight="false" outlineLevel="0" collapsed="false">
      <c r="A48" s="5" t="s">
        <v>98</v>
      </c>
      <c r="B48" s="0" t="s">
        <v>117</v>
      </c>
      <c r="C48" s="5" t="n">
        <v>2</v>
      </c>
      <c r="D48" s="5" t="n">
        <v>0</v>
      </c>
      <c r="E48" s="5" t="n">
        <v>2</v>
      </c>
      <c r="F48" s="5" t="n">
        <v>2</v>
      </c>
    </row>
    <row r="49" customFormat="false" ht="13.8" hidden="false" customHeight="false" outlineLevel="0" collapsed="false">
      <c r="A49" s="5" t="s">
        <v>99</v>
      </c>
      <c r="B49" s="0" t="s">
        <v>118</v>
      </c>
      <c r="C49" s="5" t="n">
        <v>3</v>
      </c>
      <c r="D49" s="5" t="n">
        <v>2</v>
      </c>
      <c r="E49" s="5" t="n">
        <v>1</v>
      </c>
      <c r="F49" s="5" t="n">
        <v>3</v>
      </c>
    </row>
    <row r="51" customFormat="false" ht="13.8" hidden="false" customHeight="false" outlineLevel="0" collapsed="false">
      <c r="B51" s="8" t="s">
        <v>101</v>
      </c>
      <c r="C51" s="13" t="n">
        <f aca="false">SUM(C35:C49)</f>
        <v>41</v>
      </c>
      <c r="D51" s="13" t="n">
        <f aca="false">SUM(D35:D49)</f>
        <v>16</v>
      </c>
      <c r="E51" s="13" t="n">
        <f aca="false">SUM(E35:E49)</f>
        <v>25</v>
      </c>
      <c r="F51" s="13" t="n">
        <f aca="false">SUM(F35:F49)</f>
        <v>47</v>
      </c>
    </row>
    <row r="52" customFormat="false" ht="13.8" hidden="false" customHeight="false" outlineLevel="0" collapsed="false">
      <c r="B52" s="8" t="s">
        <v>102</v>
      </c>
      <c r="C52" s="14"/>
      <c r="D52" s="14" t="n">
        <f aca="false">D51/F51*100</f>
        <v>34.0425531914894</v>
      </c>
      <c r="E52" s="14" t="n">
        <f aca="false">E51/F51*100</f>
        <v>53.1914893617021</v>
      </c>
      <c r="F52" s="14"/>
    </row>
  </sheetData>
  <mergeCells count="2">
    <mergeCell ref="I5:J5"/>
    <mergeCell ref="K5:L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40" colorId="64" zoomScale="91" zoomScaleNormal="91" zoomScalePageLayoutView="100" workbookViewId="0">
      <selection pane="topLeft" activeCell="C76" activeCellId="0" sqref="C76"/>
    </sheetView>
  </sheetViews>
  <sheetFormatPr defaultColWidth="10.5859375" defaultRowHeight="13.8" zeroHeight="false" outlineLevelRow="0" outlineLevelCol="0"/>
  <cols>
    <col collapsed="false" customWidth="true" hidden="false" outlineLevel="0" max="1" min="1" style="0" width="26.89"/>
    <col collapsed="false" customWidth="true" hidden="false" outlineLevel="0" max="2" min="2" style="0" width="25.55"/>
    <col collapsed="false" customWidth="true" hidden="false" outlineLevel="0" max="3" min="3" style="0" width="80.89"/>
    <col collapsed="false" customWidth="true" hidden="false" outlineLevel="0" max="4" min="4" style="0" width="42.44"/>
    <col collapsed="false" customWidth="true" hidden="false" outlineLevel="0" max="6" min="5" style="0" width="27.02"/>
  </cols>
  <sheetData>
    <row r="1" customFormat="false" ht="13.8" hidden="false" customHeight="false" outlineLevel="0" collapsed="false">
      <c r="A1" s="10" t="s">
        <v>57</v>
      </c>
      <c r="B1" s="10" t="s">
        <v>119</v>
      </c>
      <c r="C1" s="10" t="s">
        <v>120</v>
      </c>
      <c r="D1" s="10" t="s">
        <v>58</v>
      </c>
      <c r="E1" s="10" t="s">
        <v>59</v>
      </c>
    </row>
    <row r="2" customFormat="false" ht="13.8" hidden="false" customHeight="false" outlineLevel="0" collapsed="false">
      <c r="A2" s="1" t="s">
        <v>121</v>
      </c>
    </row>
    <row r="3" customFormat="false" ht="13.8" hidden="false" customHeight="false" outlineLevel="0" collapsed="false">
      <c r="A3" s="1" t="s">
        <v>5</v>
      </c>
      <c r="B3" s="1" t="s">
        <v>122</v>
      </c>
      <c r="C3" s="1" t="s">
        <v>123</v>
      </c>
    </row>
    <row r="4" customFormat="false" ht="13.8" hidden="false" customHeight="false" outlineLevel="0" collapsed="false">
      <c r="A4" s="0" t="s">
        <v>69</v>
      </c>
      <c r="B4" s="1" t="s">
        <v>124</v>
      </c>
      <c r="C4" s="0" t="s">
        <v>125</v>
      </c>
    </row>
    <row r="5" customFormat="false" ht="13.8" hidden="false" customHeight="false" outlineLevel="0" collapsed="false">
      <c r="A5" s="0" t="s">
        <v>69</v>
      </c>
      <c r="B5" s="1" t="s">
        <v>126</v>
      </c>
      <c r="C5" s="0" t="n">
        <v>4</v>
      </c>
    </row>
    <row r="6" customFormat="false" ht="13.8" hidden="false" customHeight="false" outlineLevel="0" collapsed="false">
      <c r="A6" s="0" t="s">
        <v>69</v>
      </c>
      <c r="B6" s="1" t="s">
        <v>127</v>
      </c>
      <c r="C6" s="0" t="n">
        <v>0</v>
      </c>
    </row>
    <row r="7" customFormat="false" ht="13.8" hidden="false" customHeight="false" outlineLevel="0" collapsed="false">
      <c r="A7" s="0" t="s">
        <v>69</v>
      </c>
      <c r="B7" s="1" t="s">
        <v>128</v>
      </c>
      <c r="C7" s="0" t="n">
        <v>4</v>
      </c>
    </row>
    <row r="8" customFormat="false" ht="13.8" hidden="false" customHeight="false" outlineLevel="0" collapsed="false">
      <c r="B8" s="1"/>
    </row>
    <row r="9" customFormat="false" ht="13.8" hidden="false" customHeight="false" outlineLevel="0" collapsed="false">
      <c r="A9" s="0" t="s">
        <v>73</v>
      </c>
      <c r="B9" s="1" t="s">
        <v>124</v>
      </c>
      <c r="C9" s="0" t="s">
        <v>129</v>
      </c>
    </row>
    <row r="10" customFormat="false" ht="13.8" hidden="false" customHeight="false" outlineLevel="0" collapsed="false">
      <c r="A10" s="0" t="s">
        <v>73</v>
      </c>
      <c r="B10" s="1" t="s">
        <v>126</v>
      </c>
      <c r="C10" s="0" t="n">
        <v>4</v>
      </c>
    </row>
    <row r="11" customFormat="false" ht="13.8" hidden="false" customHeight="false" outlineLevel="0" collapsed="false">
      <c r="A11" s="0" t="s">
        <v>73</v>
      </c>
      <c r="B11" s="1" t="s">
        <v>127</v>
      </c>
      <c r="C11" s="0" t="n">
        <v>0</v>
      </c>
    </row>
    <row r="12" customFormat="false" ht="13.8" hidden="false" customHeight="false" outlineLevel="0" collapsed="false">
      <c r="A12" s="0" t="s">
        <v>73</v>
      </c>
      <c r="B12" s="1" t="s">
        <v>128</v>
      </c>
      <c r="C12" s="0" t="n">
        <v>4</v>
      </c>
    </row>
    <row r="13" customFormat="false" ht="13.8" hidden="false" customHeight="false" outlineLevel="0" collapsed="false">
      <c r="B13" s="1"/>
    </row>
    <row r="14" customFormat="false" ht="13.8" hidden="false" customHeight="false" outlineLevel="0" collapsed="false">
      <c r="A14" s="0" t="s">
        <v>77</v>
      </c>
      <c r="B14" s="1" t="s">
        <v>124</v>
      </c>
      <c r="C14" s="0" t="s">
        <v>130</v>
      </c>
    </row>
    <row r="15" customFormat="false" ht="13.8" hidden="false" customHeight="false" outlineLevel="0" collapsed="false">
      <c r="A15" s="0" t="s">
        <v>77</v>
      </c>
      <c r="B15" s="1" t="s">
        <v>126</v>
      </c>
      <c r="C15" s="0" t="n">
        <v>4</v>
      </c>
    </row>
    <row r="16" customFormat="false" ht="13.8" hidden="false" customHeight="false" outlineLevel="0" collapsed="false">
      <c r="A16" s="0" t="s">
        <v>77</v>
      </c>
      <c r="B16" s="1" t="s">
        <v>127</v>
      </c>
      <c r="C16" s="0" t="n">
        <v>4</v>
      </c>
    </row>
    <row r="17" customFormat="false" ht="13.8" hidden="false" customHeight="false" outlineLevel="0" collapsed="false">
      <c r="A17" s="0" t="s">
        <v>77</v>
      </c>
      <c r="B17" s="1" t="s">
        <v>128</v>
      </c>
      <c r="C17" s="0" t="n">
        <v>0</v>
      </c>
    </row>
    <row r="18" customFormat="false" ht="13.8" hidden="false" customHeight="false" outlineLevel="0" collapsed="false">
      <c r="B18" s="1"/>
    </row>
    <row r="19" customFormat="false" ht="13.8" hidden="false" customHeight="false" outlineLevel="0" collapsed="false">
      <c r="A19" s="0" t="s">
        <v>79</v>
      </c>
      <c r="B19" s="1" t="s">
        <v>124</v>
      </c>
      <c r="C19" s="0" t="s">
        <v>131</v>
      </c>
    </row>
    <row r="20" customFormat="false" ht="13.8" hidden="false" customHeight="false" outlineLevel="0" collapsed="false">
      <c r="A20" s="0" t="s">
        <v>79</v>
      </c>
      <c r="B20" s="1" t="s">
        <v>126</v>
      </c>
      <c r="C20" s="0" t="n">
        <v>4</v>
      </c>
    </row>
    <row r="21" customFormat="false" ht="13.8" hidden="false" customHeight="false" outlineLevel="0" collapsed="false">
      <c r="A21" s="0" t="s">
        <v>79</v>
      </c>
      <c r="B21" s="1" t="s">
        <v>127</v>
      </c>
      <c r="C21" s="0" t="n">
        <v>0</v>
      </c>
    </row>
    <row r="22" customFormat="false" ht="13.8" hidden="false" customHeight="false" outlineLevel="0" collapsed="false">
      <c r="A22" s="0" t="s">
        <v>79</v>
      </c>
      <c r="B22" s="1" t="s">
        <v>128</v>
      </c>
      <c r="C22" s="0" t="n">
        <v>4</v>
      </c>
    </row>
    <row r="23" customFormat="false" ht="13.8" hidden="false" customHeight="false" outlineLevel="0" collapsed="false">
      <c r="B23" s="1"/>
    </row>
    <row r="24" customFormat="false" ht="13.8" hidden="false" customHeight="false" outlineLevel="0" collapsed="false">
      <c r="A24" s="0" t="s">
        <v>81</v>
      </c>
      <c r="B24" s="1" t="s">
        <v>124</v>
      </c>
      <c r="C24" s="0" t="s">
        <v>132</v>
      </c>
    </row>
    <row r="25" customFormat="false" ht="13.8" hidden="false" customHeight="false" outlineLevel="0" collapsed="false">
      <c r="A25" s="0" t="s">
        <v>81</v>
      </c>
      <c r="B25" s="1" t="s">
        <v>126</v>
      </c>
      <c r="C25" s="0" t="n">
        <v>4</v>
      </c>
    </row>
    <row r="26" customFormat="false" ht="13.8" hidden="false" customHeight="false" outlineLevel="0" collapsed="false">
      <c r="A26" s="0" t="s">
        <v>81</v>
      </c>
      <c r="B26" s="1" t="s">
        <v>127</v>
      </c>
      <c r="C26" s="0" t="n">
        <v>0</v>
      </c>
    </row>
    <row r="27" customFormat="false" ht="13.8" hidden="false" customHeight="false" outlineLevel="0" collapsed="false">
      <c r="A27" s="0" t="s">
        <v>81</v>
      </c>
      <c r="B27" s="1" t="s">
        <v>128</v>
      </c>
      <c r="C27" s="0" t="n">
        <v>4</v>
      </c>
    </row>
    <row r="28" customFormat="false" ht="13.8" hidden="false" customHeight="false" outlineLevel="0" collapsed="false">
      <c r="B28" s="1"/>
    </row>
    <row r="29" customFormat="false" ht="13.8" hidden="false" customHeight="false" outlineLevel="0" collapsed="false">
      <c r="A29" s="0" t="s">
        <v>83</v>
      </c>
      <c r="B29" s="1" t="s">
        <v>124</v>
      </c>
      <c r="C29" s="0" t="s">
        <v>133</v>
      </c>
    </row>
    <row r="30" customFormat="false" ht="13.8" hidden="false" customHeight="false" outlineLevel="0" collapsed="false">
      <c r="A30" s="0" t="s">
        <v>83</v>
      </c>
      <c r="B30" s="1" t="s">
        <v>126</v>
      </c>
      <c r="C30" s="0" t="n">
        <v>4</v>
      </c>
    </row>
    <row r="31" customFormat="false" ht="13.8" hidden="false" customHeight="false" outlineLevel="0" collapsed="false">
      <c r="A31" s="0" t="s">
        <v>83</v>
      </c>
      <c r="B31" s="1" t="s">
        <v>127</v>
      </c>
      <c r="C31" s="0" t="n">
        <v>2</v>
      </c>
    </row>
    <row r="32" customFormat="false" ht="13.8" hidden="false" customHeight="false" outlineLevel="0" collapsed="false">
      <c r="A32" s="0" t="s">
        <v>83</v>
      </c>
      <c r="B32" s="1" t="s">
        <v>128</v>
      </c>
      <c r="C32" s="0" t="n">
        <v>2</v>
      </c>
    </row>
    <row r="33" customFormat="false" ht="13.8" hidden="false" customHeight="false" outlineLevel="0" collapsed="false">
      <c r="B33" s="1"/>
    </row>
    <row r="34" customFormat="false" ht="13.8" hidden="false" customHeight="false" outlineLevel="0" collapsed="false">
      <c r="A34" s="0" t="s">
        <v>85</v>
      </c>
      <c r="B34" s="1" t="s">
        <v>124</v>
      </c>
      <c r="C34" s="0" t="s">
        <v>134</v>
      </c>
    </row>
    <row r="35" customFormat="false" ht="13.8" hidden="false" customHeight="false" outlineLevel="0" collapsed="false">
      <c r="A35" s="0" t="s">
        <v>85</v>
      </c>
      <c r="B35" s="1" t="s">
        <v>126</v>
      </c>
      <c r="C35" s="0" t="n">
        <v>4</v>
      </c>
    </row>
    <row r="36" customFormat="false" ht="13.8" hidden="false" customHeight="false" outlineLevel="0" collapsed="false">
      <c r="A36" s="0" t="s">
        <v>85</v>
      </c>
      <c r="B36" s="1" t="s">
        <v>127</v>
      </c>
      <c r="C36" s="0" t="n">
        <v>0</v>
      </c>
    </row>
    <row r="37" customFormat="false" ht="13.8" hidden="false" customHeight="false" outlineLevel="0" collapsed="false">
      <c r="A37" s="0" t="s">
        <v>85</v>
      </c>
      <c r="B37" s="1" t="s">
        <v>128</v>
      </c>
      <c r="C37" s="0" t="n">
        <v>4</v>
      </c>
    </row>
    <row r="38" customFormat="false" ht="13.8" hidden="false" customHeight="false" outlineLevel="0" collapsed="false">
      <c r="B38" s="1"/>
    </row>
    <row r="39" customFormat="false" ht="13.8" hidden="false" customHeight="false" outlineLevel="0" collapsed="false">
      <c r="A39" s="0" t="s">
        <v>87</v>
      </c>
      <c r="B39" s="1" t="s">
        <v>124</v>
      </c>
      <c r="C39" s="0" t="s">
        <v>135</v>
      </c>
    </row>
    <row r="40" customFormat="false" ht="13.8" hidden="false" customHeight="false" outlineLevel="0" collapsed="false">
      <c r="A40" s="0" t="s">
        <v>87</v>
      </c>
      <c r="B40" s="1" t="s">
        <v>126</v>
      </c>
      <c r="C40" s="0" t="n">
        <v>3</v>
      </c>
    </row>
    <row r="41" customFormat="false" ht="13.8" hidden="false" customHeight="false" outlineLevel="0" collapsed="false">
      <c r="A41" s="0" t="s">
        <v>87</v>
      </c>
      <c r="B41" s="1" t="s">
        <v>127</v>
      </c>
      <c r="C41" s="0" t="n">
        <v>0</v>
      </c>
    </row>
    <row r="42" customFormat="false" ht="13.8" hidden="false" customHeight="false" outlineLevel="0" collapsed="false">
      <c r="A42" s="0" t="s">
        <v>87</v>
      </c>
      <c r="B42" s="1" t="s">
        <v>128</v>
      </c>
      <c r="C42" s="0" t="n">
        <v>3</v>
      </c>
    </row>
    <row r="43" customFormat="false" ht="13.8" hidden="false" customHeight="false" outlineLevel="0" collapsed="false">
      <c r="B43" s="1"/>
    </row>
    <row r="44" customFormat="false" ht="13.8" hidden="false" customHeight="false" outlineLevel="0" collapsed="false">
      <c r="A44" s="0" t="s">
        <v>89</v>
      </c>
      <c r="B44" s="1" t="s">
        <v>124</v>
      </c>
      <c r="C44" s="0" t="s">
        <v>136</v>
      </c>
    </row>
    <row r="45" customFormat="false" ht="13.8" hidden="false" customHeight="false" outlineLevel="0" collapsed="false">
      <c r="A45" s="0" t="s">
        <v>89</v>
      </c>
      <c r="B45" s="1" t="s">
        <v>126</v>
      </c>
      <c r="C45" s="0" t="n">
        <v>4</v>
      </c>
    </row>
    <row r="46" customFormat="false" ht="13.8" hidden="false" customHeight="false" outlineLevel="0" collapsed="false">
      <c r="A46" s="0" t="s">
        <v>89</v>
      </c>
      <c r="B46" s="1" t="s">
        <v>127</v>
      </c>
      <c r="C46" s="0" t="n">
        <v>0</v>
      </c>
    </row>
    <row r="47" customFormat="false" ht="13.8" hidden="false" customHeight="false" outlineLevel="0" collapsed="false">
      <c r="A47" s="0" t="s">
        <v>89</v>
      </c>
      <c r="B47" s="1" t="s">
        <v>128</v>
      </c>
      <c r="C47" s="0" t="n">
        <v>4</v>
      </c>
    </row>
    <row r="48" customFormat="false" ht="13.8" hidden="false" customHeight="false" outlineLevel="0" collapsed="false">
      <c r="B48" s="1"/>
    </row>
    <row r="49" customFormat="false" ht="13.8" hidden="false" customHeight="false" outlineLevel="0" collapsed="false">
      <c r="A49" s="0" t="s">
        <v>91</v>
      </c>
      <c r="B49" s="1" t="s">
        <v>124</v>
      </c>
      <c r="C49" s="0" t="s">
        <v>137</v>
      </c>
    </row>
    <row r="50" customFormat="false" ht="13.8" hidden="false" customHeight="false" outlineLevel="0" collapsed="false">
      <c r="A50" s="0" t="s">
        <v>91</v>
      </c>
      <c r="B50" s="1" t="s">
        <v>126</v>
      </c>
      <c r="C50" s="0" t="n">
        <v>4</v>
      </c>
    </row>
    <row r="51" customFormat="false" ht="13.8" hidden="false" customHeight="false" outlineLevel="0" collapsed="false">
      <c r="A51" s="0" t="s">
        <v>91</v>
      </c>
      <c r="B51" s="1" t="s">
        <v>127</v>
      </c>
      <c r="C51" s="0" t="n">
        <v>0</v>
      </c>
    </row>
    <row r="52" customFormat="false" ht="13.8" hidden="false" customHeight="false" outlineLevel="0" collapsed="false">
      <c r="A52" s="0" t="s">
        <v>91</v>
      </c>
      <c r="B52" s="1" t="s">
        <v>128</v>
      </c>
      <c r="C52" s="0" t="n">
        <v>4</v>
      </c>
    </row>
    <row r="53" customFormat="false" ht="13.8" hidden="false" customHeight="false" outlineLevel="0" collapsed="false">
      <c r="B53" s="1"/>
    </row>
    <row r="54" customFormat="false" ht="13.8" hidden="false" customHeight="false" outlineLevel="0" collapsed="false">
      <c r="A54" s="0" t="s">
        <v>93</v>
      </c>
      <c r="B54" s="1" t="s">
        <v>124</v>
      </c>
      <c r="C54" s="0" t="s">
        <v>138</v>
      </c>
    </row>
    <row r="55" customFormat="false" ht="13.8" hidden="false" customHeight="false" outlineLevel="0" collapsed="false">
      <c r="A55" s="0" t="s">
        <v>93</v>
      </c>
      <c r="B55" s="1" t="s">
        <v>126</v>
      </c>
      <c r="C55" s="0" t="n">
        <v>4</v>
      </c>
    </row>
    <row r="56" customFormat="false" ht="13.8" hidden="false" customHeight="false" outlineLevel="0" collapsed="false">
      <c r="A56" s="0" t="s">
        <v>93</v>
      </c>
      <c r="B56" s="1" t="s">
        <v>127</v>
      </c>
      <c r="C56" s="0" t="n">
        <v>0</v>
      </c>
    </row>
    <row r="57" customFormat="false" ht="13.8" hidden="false" customHeight="false" outlineLevel="0" collapsed="false">
      <c r="A57" s="0" t="s">
        <v>93</v>
      </c>
      <c r="B57" s="1" t="s">
        <v>128</v>
      </c>
      <c r="C57" s="0" t="n">
        <v>4</v>
      </c>
    </row>
    <row r="58" customFormat="false" ht="13.8" hidden="false" customHeight="false" outlineLevel="0" collapsed="false">
      <c r="B58" s="1"/>
    </row>
    <row r="59" customFormat="false" ht="13.8" hidden="false" customHeight="false" outlineLevel="0" collapsed="false">
      <c r="A59" s="0" t="s">
        <v>95</v>
      </c>
      <c r="B59" s="1" t="s">
        <v>124</v>
      </c>
      <c r="C59" s="0" t="s">
        <v>139</v>
      </c>
    </row>
    <row r="60" customFormat="false" ht="13.8" hidden="false" customHeight="false" outlineLevel="0" collapsed="false">
      <c r="A60" s="0" t="s">
        <v>95</v>
      </c>
      <c r="B60" s="1" t="s">
        <v>126</v>
      </c>
      <c r="C60" s="0" t="n">
        <v>4</v>
      </c>
    </row>
    <row r="61" customFormat="false" ht="13.8" hidden="false" customHeight="false" outlineLevel="0" collapsed="false">
      <c r="A61" s="0" t="s">
        <v>95</v>
      </c>
      <c r="B61" s="1" t="s">
        <v>127</v>
      </c>
      <c r="C61" s="0" t="n">
        <v>4</v>
      </c>
    </row>
    <row r="62" customFormat="false" ht="13.8" hidden="false" customHeight="false" outlineLevel="0" collapsed="false">
      <c r="A62" s="0" t="s">
        <v>95</v>
      </c>
      <c r="B62" s="1" t="s">
        <v>128</v>
      </c>
      <c r="C62" s="0" t="n">
        <v>0</v>
      </c>
    </row>
    <row r="63" customFormat="false" ht="13.8" hidden="false" customHeight="false" outlineLevel="0" collapsed="false">
      <c r="B63" s="1"/>
    </row>
    <row r="64" customFormat="false" ht="13.8" hidden="false" customHeight="false" outlineLevel="0" collapsed="false">
      <c r="A64" s="0" t="s">
        <v>96</v>
      </c>
      <c r="B64" s="1" t="s">
        <v>124</v>
      </c>
      <c r="C64" s="0" t="s">
        <v>140</v>
      </c>
    </row>
    <row r="65" customFormat="false" ht="13.8" hidden="false" customHeight="false" outlineLevel="0" collapsed="false">
      <c r="A65" s="0" t="s">
        <v>96</v>
      </c>
      <c r="B65" s="1" t="s">
        <v>126</v>
      </c>
      <c r="C65" s="0" t="n">
        <v>2</v>
      </c>
    </row>
    <row r="66" customFormat="false" ht="13.8" hidden="false" customHeight="false" outlineLevel="0" collapsed="false">
      <c r="A66" s="0" t="s">
        <v>96</v>
      </c>
      <c r="B66" s="1" t="s">
        <v>127</v>
      </c>
      <c r="C66" s="0" t="n">
        <v>0</v>
      </c>
    </row>
    <row r="67" customFormat="false" ht="13.8" hidden="false" customHeight="false" outlineLevel="0" collapsed="false">
      <c r="A67" s="0" t="s">
        <v>96</v>
      </c>
      <c r="B67" s="1" t="s">
        <v>128</v>
      </c>
      <c r="C67" s="0" t="n">
        <v>2</v>
      </c>
    </row>
    <row r="68" customFormat="false" ht="13.8" hidden="false" customHeight="false" outlineLevel="0" collapsed="false">
      <c r="B68" s="1"/>
    </row>
    <row r="69" customFormat="false" ht="13.8" hidden="false" customHeight="false" outlineLevel="0" collapsed="false">
      <c r="A69" s="0" t="s">
        <v>98</v>
      </c>
      <c r="B69" s="1" t="s">
        <v>124</v>
      </c>
      <c r="C69" s="0" t="s">
        <v>138</v>
      </c>
    </row>
    <row r="70" customFormat="false" ht="13.8" hidden="false" customHeight="false" outlineLevel="0" collapsed="false">
      <c r="A70" s="0" t="s">
        <v>98</v>
      </c>
      <c r="B70" s="1" t="s">
        <v>126</v>
      </c>
      <c r="C70" s="0" t="n">
        <v>4</v>
      </c>
    </row>
    <row r="71" customFormat="false" ht="13.8" hidden="false" customHeight="false" outlineLevel="0" collapsed="false">
      <c r="A71" s="0" t="s">
        <v>98</v>
      </c>
      <c r="B71" s="1" t="s">
        <v>127</v>
      </c>
      <c r="C71" s="0" t="n">
        <v>0</v>
      </c>
    </row>
    <row r="72" customFormat="false" ht="13.8" hidden="false" customHeight="false" outlineLevel="0" collapsed="false">
      <c r="A72" s="0" t="s">
        <v>98</v>
      </c>
      <c r="B72" s="1" t="s">
        <v>128</v>
      </c>
      <c r="C72" s="0" t="n">
        <v>4</v>
      </c>
    </row>
    <row r="73" customFormat="false" ht="13.8" hidden="false" customHeight="false" outlineLevel="0" collapsed="false">
      <c r="B73" s="1"/>
    </row>
    <row r="74" customFormat="false" ht="13.8" hidden="false" customHeight="false" outlineLevel="0" collapsed="false">
      <c r="A74" s="0" t="s">
        <v>99</v>
      </c>
      <c r="B74" s="1" t="s">
        <v>124</v>
      </c>
      <c r="C74" s="0" t="s">
        <v>141</v>
      </c>
    </row>
    <row r="75" customFormat="false" ht="13.8" hidden="false" customHeight="false" outlineLevel="0" collapsed="false">
      <c r="A75" s="0" t="s">
        <v>99</v>
      </c>
      <c r="B75" s="1" t="s">
        <v>126</v>
      </c>
      <c r="C75" s="0" t="n">
        <v>4</v>
      </c>
    </row>
    <row r="76" customFormat="false" ht="13.8" hidden="false" customHeight="false" outlineLevel="0" collapsed="false">
      <c r="A76" s="0" t="s">
        <v>99</v>
      </c>
      <c r="B76" s="1" t="s">
        <v>127</v>
      </c>
      <c r="C76" s="0" t="n">
        <v>2</v>
      </c>
    </row>
    <row r="77" customFormat="false" ht="13.8" hidden="false" customHeight="false" outlineLevel="0" collapsed="false">
      <c r="A77" s="0" t="s">
        <v>99</v>
      </c>
      <c r="B77" s="1" t="s">
        <v>128</v>
      </c>
      <c r="C77" s="0" t="n">
        <v>2</v>
      </c>
    </row>
    <row r="78" customFormat="false" ht="13.8" hidden="false" customHeight="false" outlineLevel="0" collapsed="false">
      <c r="B78" s="1"/>
    </row>
    <row r="79" customFormat="false" ht="13.8" hidden="false" customHeight="false" outlineLevel="0" collapsed="false">
      <c r="B79" s="8" t="s">
        <v>126</v>
      </c>
      <c r="C79" s="9" t="n">
        <f aca="false">SUM(C5,C10,C15,C20,C25,C30,C35,C40,C45,C50,C55,C60,C65,C70,C75)</f>
        <v>57</v>
      </c>
      <c r="E79" s="7" t="s">
        <v>68</v>
      </c>
      <c r="F79" s="7"/>
    </row>
    <row r="80" customFormat="false" ht="13.8" hidden="false" customHeight="false" outlineLevel="0" collapsed="false">
      <c r="B80" s="8" t="s">
        <v>142</v>
      </c>
      <c r="C80" s="9" t="n">
        <f aca="false">SUM(C6,C11,C16,C21,C26,C31,C36,C41,C46,C51,C56,C61,C66,C71,C76)</f>
        <v>12</v>
      </c>
      <c r="E80" s="12" t="s">
        <v>71</v>
      </c>
      <c r="F80" s="12"/>
    </row>
    <row r="81" customFormat="false" ht="13.8" hidden="false" customHeight="false" outlineLevel="0" collapsed="false">
      <c r="B81" s="8" t="s">
        <v>143</v>
      </c>
      <c r="C81" s="9" t="n">
        <f aca="false">C79-C80</f>
        <v>45</v>
      </c>
      <c r="E81" s="0" t="s">
        <v>75</v>
      </c>
      <c r="F81" s="0" t="s">
        <v>76</v>
      </c>
    </row>
    <row r="82" customFormat="false" ht="13.8" hidden="false" customHeight="false" outlineLevel="0" collapsed="false">
      <c r="B82" s="8" t="s">
        <v>144</v>
      </c>
      <c r="C82" s="14" t="n">
        <f aca="false">C81/C79*100</f>
        <v>78.9473684210526</v>
      </c>
      <c r="E82" s="0" t="n">
        <v>12</v>
      </c>
      <c r="F82" s="0" t="n">
        <v>3</v>
      </c>
    </row>
  </sheetData>
  <mergeCells count="1">
    <mergeCell ref="E80:F8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D1" colorId="64" zoomScale="91" zoomScaleNormal="91" zoomScalePageLayoutView="100" workbookViewId="0">
      <selection pane="topLeft" activeCell="I6" activeCellId="0" sqref="I6"/>
    </sheetView>
  </sheetViews>
  <sheetFormatPr defaultColWidth="10.5859375" defaultRowHeight="13.8" zeroHeight="false" outlineLevelRow="0" outlineLevelCol="0"/>
  <cols>
    <col collapsed="false" customWidth="true" hidden="false" outlineLevel="0" max="1" min="1" style="0" width="17.67"/>
    <col collapsed="false" customWidth="true" hidden="false" outlineLevel="0" max="2" min="2" style="0" width="80"/>
    <col collapsed="false" customWidth="true" hidden="false" outlineLevel="0" max="3" min="3" style="0" width="79.89"/>
    <col collapsed="false" customWidth="true" hidden="false" outlineLevel="0" max="10" min="4" style="0" width="31.87"/>
    <col collapsed="false" customWidth="true" hidden="false" outlineLevel="0" max="1024" min="1024" style="0" width="9.14"/>
  </cols>
  <sheetData>
    <row r="1" customFormat="false" ht="13.8" hidden="false" customHeight="false" outlineLevel="0" collapsed="false">
      <c r="A1" s="1" t="s">
        <v>145</v>
      </c>
    </row>
    <row r="2" customFormat="false" ht="13.8" hidden="false" customHeight="false" outlineLevel="0" collapsed="false">
      <c r="A2" s="1" t="s">
        <v>1</v>
      </c>
      <c r="B2" s="0" t="s">
        <v>146</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3.9" hidden="false" customHeight="true" outlineLevel="0" collapsed="false">
      <c r="A6" s="5" t="n">
        <v>1</v>
      </c>
      <c r="B6" s="0" t="s">
        <v>147</v>
      </c>
      <c r="C6" s="6" t="s">
        <v>148</v>
      </c>
      <c r="D6" s="7" t="s">
        <v>149</v>
      </c>
      <c r="E6" s="0" t="n">
        <v>0.5114</v>
      </c>
      <c r="F6" s="0" t="n">
        <v>0.7583</v>
      </c>
      <c r="G6" s="0" t="n">
        <v>0.8159</v>
      </c>
      <c r="H6" s="0" t="n">
        <v>0.8562</v>
      </c>
      <c r="I6" s="0" t="n">
        <v>0.8723</v>
      </c>
      <c r="J6" s="0" t="n">
        <v>0.8536</v>
      </c>
    </row>
    <row r="7" customFormat="false" ht="13.9" hidden="false" customHeight="true" outlineLevel="0" collapsed="false">
      <c r="A7" s="5" t="n">
        <v>2</v>
      </c>
      <c r="B7" s="0" t="s">
        <v>150</v>
      </c>
      <c r="C7" s="6" t="s">
        <v>151</v>
      </c>
      <c r="D7" s="7" t="s">
        <v>152</v>
      </c>
      <c r="E7" s="0" t="n">
        <v>0.2944</v>
      </c>
      <c r="F7" s="0" t="n">
        <v>0.6717</v>
      </c>
      <c r="G7" s="0" t="n">
        <v>0.9434</v>
      </c>
      <c r="H7" s="0" t="n">
        <v>0.8347</v>
      </c>
      <c r="I7" s="0" t="n">
        <v>0.862</v>
      </c>
      <c r="J7" s="0" t="n">
        <v>0.9245</v>
      </c>
    </row>
    <row r="8" customFormat="false" ht="13.9" hidden="false" customHeight="true" outlineLevel="0" collapsed="false">
      <c r="A8" s="5" t="n">
        <v>3</v>
      </c>
      <c r="B8" s="0" t="s">
        <v>153</v>
      </c>
      <c r="C8" s="6" t="s">
        <v>154</v>
      </c>
      <c r="D8" s="7" t="s">
        <v>155</v>
      </c>
      <c r="E8" s="0" t="n">
        <v>0.3324</v>
      </c>
      <c r="F8" s="0" t="n">
        <v>0.6242</v>
      </c>
      <c r="G8" s="0" t="n">
        <v>0.8535</v>
      </c>
      <c r="H8" s="0" t="n">
        <v>0.8463</v>
      </c>
      <c r="I8" s="0" t="n">
        <v>0.8585</v>
      </c>
      <c r="J8" s="0" t="n">
        <v>0.9013</v>
      </c>
    </row>
    <row r="9" customFormat="false" ht="13.9" hidden="false" customHeight="true" outlineLevel="0" collapsed="false">
      <c r="A9" s="5" t="n">
        <v>4</v>
      </c>
      <c r="B9" s="0" t="s">
        <v>156</v>
      </c>
      <c r="C9" s="6" t="s">
        <v>157</v>
      </c>
      <c r="D9" s="7" t="s">
        <v>158</v>
      </c>
      <c r="E9" s="0" t="n">
        <v>0.4925</v>
      </c>
      <c r="F9" s="0" t="n">
        <v>0.82</v>
      </c>
      <c r="G9" s="0" t="n">
        <v>0.8907</v>
      </c>
      <c r="H9" s="0" t="n">
        <v>0.8266</v>
      </c>
      <c r="I9" s="0" t="n">
        <v>0.8655</v>
      </c>
      <c r="J9" s="0" t="n">
        <v>0.8768</v>
      </c>
    </row>
    <row r="10" customFormat="false" ht="13.9" hidden="false" customHeight="true" outlineLevel="0" collapsed="false">
      <c r="A10" s="5" t="n">
        <v>5</v>
      </c>
      <c r="B10" s="0" t="s">
        <v>159</v>
      </c>
      <c r="C10" s="6" t="s">
        <v>160</v>
      </c>
      <c r="D10" s="7" t="s">
        <v>161</v>
      </c>
      <c r="E10" s="0" t="n">
        <v>0.4698</v>
      </c>
      <c r="F10" s="0" t="n">
        <v>0.7487</v>
      </c>
      <c r="G10" s="0" t="n">
        <v>0.9111</v>
      </c>
      <c r="H10" s="0" t="n">
        <v>0.8427</v>
      </c>
      <c r="I10" s="0" t="n">
        <v>0.865</v>
      </c>
      <c r="J10" s="0" t="n">
        <v>0.8893</v>
      </c>
    </row>
    <row r="11" customFormat="false" ht="13.9" hidden="false" customHeight="true" outlineLevel="0" collapsed="false">
      <c r="A11" s="5" t="n">
        <v>6</v>
      </c>
      <c r="B11" s="0" t="s">
        <v>162</v>
      </c>
      <c r="C11" s="6" t="s">
        <v>163</v>
      </c>
      <c r="D11" s="7" t="s">
        <v>164</v>
      </c>
      <c r="E11" s="0" t="n">
        <v>0.3194</v>
      </c>
      <c r="F11" s="0" t="n">
        <v>0.777</v>
      </c>
      <c r="G11" s="0" t="n">
        <v>0.7712</v>
      </c>
      <c r="H11" s="0" t="n">
        <v>0.8488</v>
      </c>
      <c r="I11" s="0" t="n">
        <v>0.8788</v>
      </c>
      <c r="J11" s="0" t="n">
        <v>0.896</v>
      </c>
    </row>
    <row r="12" customFormat="false" ht="13.9" hidden="false" customHeight="true" outlineLevel="0" collapsed="false">
      <c r="A12" s="5" t="n">
        <v>7</v>
      </c>
      <c r="B12" s="0" t="s">
        <v>165</v>
      </c>
      <c r="C12" s="6" t="s">
        <v>166</v>
      </c>
      <c r="D12" s="7" t="s">
        <v>167</v>
      </c>
      <c r="E12" s="0" t="n">
        <v>0.3255</v>
      </c>
      <c r="F12" s="0" t="n">
        <v>0.6709</v>
      </c>
      <c r="G12" s="0" t="n">
        <v>0.8276</v>
      </c>
      <c r="H12" s="0" t="n">
        <v>0.8423</v>
      </c>
      <c r="I12" s="0" t="n">
        <v>0.8439</v>
      </c>
      <c r="J12" s="0" t="n">
        <v>0.8613</v>
      </c>
    </row>
    <row r="13" customFormat="false" ht="13.9" hidden="false" customHeight="true" outlineLevel="0" collapsed="false">
      <c r="A13" s="5" t="n">
        <v>8</v>
      </c>
      <c r="B13" s="0" t="s">
        <v>168</v>
      </c>
      <c r="C13" s="6" t="s">
        <v>169</v>
      </c>
      <c r="D13" s="7" t="s">
        <v>170</v>
      </c>
      <c r="E13" s="0" t="n">
        <v>0.4321</v>
      </c>
      <c r="F13" s="0" t="n">
        <v>0.7645</v>
      </c>
      <c r="G13" s="0" t="n">
        <v>0.9214</v>
      </c>
      <c r="H13" s="0" t="n">
        <v>0.8233</v>
      </c>
      <c r="I13" s="0" t="n">
        <v>0.8753</v>
      </c>
      <c r="J13" s="0" t="n">
        <v>0.8984</v>
      </c>
    </row>
    <row r="14" customFormat="false" ht="13.9" hidden="false" customHeight="true" outlineLevel="0" collapsed="false">
      <c r="A14" s="5" t="n">
        <v>9</v>
      </c>
      <c r="B14" s="0" t="s">
        <v>171</v>
      </c>
      <c r="C14" s="6" t="s">
        <v>172</v>
      </c>
      <c r="D14" s="7" t="s">
        <v>173</v>
      </c>
      <c r="E14" s="0" t="n">
        <v>0.5003</v>
      </c>
      <c r="F14" s="0" t="n">
        <v>0.8015</v>
      </c>
      <c r="G14" s="0" t="n">
        <v>0.8795</v>
      </c>
      <c r="H14" s="0" t="n">
        <v>0.8485</v>
      </c>
      <c r="I14" s="0" t="n">
        <v>0.8887</v>
      </c>
      <c r="J14" s="0" t="n">
        <v>0.9114</v>
      </c>
    </row>
    <row r="15" customFormat="false" ht="13.9" hidden="false" customHeight="true" outlineLevel="0" collapsed="false">
      <c r="A15" s="5" t="n">
        <v>10</v>
      </c>
      <c r="B15" s="0" t="s">
        <v>174</v>
      </c>
      <c r="C15" s="6" t="s">
        <v>175</v>
      </c>
      <c r="D15" s="7" t="s">
        <v>176</v>
      </c>
      <c r="E15" s="0" t="n">
        <v>0.4986</v>
      </c>
      <c r="F15" s="0" t="n">
        <v>0.7524</v>
      </c>
      <c r="G15" s="0" t="n">
        <v>0.9371</v>
      </c>
      <c r="H15" s="0" t="n">
        <v>0.8401</v>
      </c>
      <c r="I15" s="0" t="n">
        <v>0.86</v>
      </c>
      <c r="J15" s="0" t="n">
        <v>0.8926</v>
      </c>
    </row>
    <row r="16" customFormat="false" ht="13.9" hidden="false" customHeight="true" outlineLevel="0" collapsed="false">
      <c r="A16" s="5" t="n">
        <v>11</v>
      </c>
      <c r="B16" s="0" t="s">
        <v>177</v>
      </c>
      <c r="C16" s="6" t="s">
        <v>178</v>
      </c>
      <c r="D16" s="7" t="s">
        <v>179</v>
      </c>
      <c r="E16" s="0" t="n">
        <v>0.6337</v>
      </c>
      <c r="F16" s="0" t="n">
        <v>0.7764</v>
      </c>
      <c r="G16" s="0" t="n">
        <v>0.8875</v>
      </c>
      <c r="H16" s="0" t="n">
        <v>0.8519</v>
      </c>
      <c r="I16" s="0" t="n">
        <v>0.8676</v>
      </c>
      <c r="J16" s="0" t="n">
        <v>0.8916</v>
      </c>
    </row>
    <row r="17" customFormat="false" ht="13.9" hidden="false" customHeight="true" outlineLevel="0" collapsed="false">
      <c r="A17" s="5" t="n">
        <v>12</v>
      </c>
      <c r="B17" s="0" t="s">
        <v>180</v>
      </c>
      <c r="C17" s="6" t="s">
        <v>181</v>
      </c>
      <c r="D17" s="7" t="s">
        <v>182</v>
      </c>
      <c r="E17" s="0" t="n">
        <v>0.354</v>
      </c>
      <c r="F17" s="0" t="n">
        <v>0.6219</v>
      </c>
      <c r="G17" s="0" t="n">
        <v>0.8573</v>
      </c>
      <c r="H17" s="0" t="n">
        <v>0.8492</v>
      </c>
      <c r="I17" s="0" t="n">
        <v>0.8548</v>
      </c>
      <c r="J17" s="0" t="n">
        <v>0.8746</v>
      </c>
    </row>
    <row r="18" customFormat="false" ht="13.9" hidden="false" customHeight="true" outlineLevel="0" collapsed="false">
      <c r="A18" s="5" t="n">
        <v>13</v>
      </c>
      <c r="B18" s="0" t="s">
        <v>183</v>
      </c>
      <c r="C18" s="6" t="s">
        <v>184</v>
      </c>
      <c r="D18" s="7" t="s">
        <v>185</v>
      </c>
      <c r="E18" s="0" t="n">
        <v>0.4909</v>
      </c>
      <c r="F18" s="0" t="n">
        <v>0.7722</v>
      </c>
      <c r="G18" s="0" t="n">
        <v>0.8919</v>
      </c>
      <c r="H18" s="0" t="n">
        <v>0.8406</v>
      </c>
      <c r="I18" s="0" t="n">
        <v>0.8577</v>
      </c>
      <c r="J18" s="0" t="n">
        <v>0.8933</v>
      </c>
    </row>
    <row r="19" customFormat="false" ht="13.9" hidden="false" customHeight="true" outlineLevel="0" collapsed="false">
      <c r="A19" s="5" t="n">
        <v>14</v>
      </c>
      <c r="B19" s="0" t="s">
        <v>186</v>
      </c>
      <c r="C19" s="6" t="s">
        <v>187</v>
      </c>
      <c r="D19" s="7" t="s">
        <v>188</v>
      </c>
      <c r="E19" s="0" t="n">
        <v>0.3071</v>
      </c>
      <c r="F19" s="0" t="n">
        <v>0.673</v>
      </c>
      <c r="G19" s="0" t="n">
        <v>0.8594</v>
      </c>
      <c r="H19" s="0" t="n">
        <v>0.8463</v>
      </c>
      <c r="I19" s="0" t="n">
        <v>0.8574</v>
      </c>
      <c r="J19" s="0" t="n">
        <v>0.8645</v>
      </c>
    </row>
    <row r="20" customFormat="false" ht="13.9" hidden="false" customHeight="true" outlineLevel="0" collapsed="false">
      <c r="A20" s="5" t="n">
        <v>15</v>
      </c>
      <c r="B20" s="0" t="s">
        <v>189</v>
      </c>
      <c r="C20" s="6" t="s">
        <v>190</v>
      </c>
      <c r="D20" s="7" t="s">
        <v>191</v>
      </c>
      <c r="E20" s="0" t="n">
        <v>0.5342</v>
      </c>
      <c r="F20" s="0" t="n">
        <v>0.7303</v>
      </c>
      <c r="G20" s="0" t="n">
        <v>0.799</v>
      </c>
      <c r="H20" s="0" t="n">
        <v>0.8502</v>
      </c>
      <c r="I20" s="0" t="n">
        <v>0.8671</v>
      </c>
      <c r="J20" s="0" t="n">
        <v>0.8873</v>
      </c>
    </row>
    <row r="22" customFormat="false" ht="13.8" hidden="false" customHeight="false" outlineLevel="0" collapsed="false">
      <c r="C22" s="8" t="s">
        <v>192</v>
      </c>
      <c r="D22" s="8"/>
      <c r="E22" s="9" t="n">
        <f aca="false">AVERAGE(E6:E20)</f>
        <v>0.433086666666667</v>
      </c>
      <c r="F22" s="9" t="n">
        <f aca="false">AVERAGE(F6:F20)</f>
        <v>0.730866666666667</v>
      </c>
      <c r="G22" s="9" t="n">
        <f aca="false">AVERAGE(G6:G20)</f>
        <v>0.869766666666667</v>
      </c>
      <c r="H22" s="9" t="n">
        <f aca="false">AVERAGE(H6:H20)</f>
        <v>0.84318</v>
      </c>
      <c r="I22" s="9" t="n">
        <f aca="false">AVERAGE(I6:I20)</f>
        <v>0.864973333333333</v>
      </c>
      <c r="J22" s="9" t="n">
        <f aca="false">AVERAGE(J6:J20)</f>
        <v>0.887766666666666</v>
      </c>
    </row>
    <row r="23" customFormat="false" ht="13.8" hidden="false" customHeight="false" outlineLevel="0" collapsed="false">
      <c r="C23" s="8" t="s">
        <v>193</v>
      </c>
      <c r="D23" s="8"/>
      <c r="E23" s="9" t="n">
        <f aca="false">_xlfn.STDEV.S(E6:E20)</f>
        <v>0.103382810581883</v>
      </c>
      <c r="F23" s="9" t="n">
        <f aca="false">_xlfn.STDEV.S(F6:F20)</f>
        <v>0.0627958218203667</v>
      </c>
      <c r="G23" s="9" t="n">
        <f aca="false">_xlfn.STDEV.S(G6:G20)</f>
        <v>0.0504252157253926</v>
      </c>
      <c r="H23" s="9" t="n">
        <f aca="false">_xlfn.STDEV.S(H6:H20)</f>
        <v>0.00914019380851099</v>
      </c>
      <c r="I23" s="9" t="n">
        <f aca="false">_xlfn.STDEV.S(I6:I20)</f>
        <v>0.0108873102192196</v>
      </c>
      <c r="J23" s="9" t="n">
        <f aca="false">_xlfn.STDEV.S(J6:J20)</f>
        <v>0.0189848310375365</v>
      </c>
    </row>
    <row r="24" customFormat="false" ht="13.8" hidden="false" customHeight="false" outlineLevel="0" collapsed="false">
      <c r="C24" s="8" t="s">
        <v>194</v>
      </c>
      <c r="D24" s="8"/>
      <c r="E24" s="9" t="n">
        <f aca="false">MEDIAN(E6:E20)</f>
        <v>0.4698</v>
      </c>
      <c r="F24" s="9" t="n">
        <f aca="false">MEDIAN(F6:F20)</f>
        <v>0.7524</v>
      </c>
      <c r="G24" s="9" t="n">
        <f aca="false">MEDIAN(G6:G20)</f>
        <v>0.8795</v>
      </c>
      <c r="H24" s="9" t="n">
        <f aca="false">MEDIAN(H6:H20)</f>
        <v>0.8463</v>
      </c>
      <c r="I24" s="9" t="n">
        <f aca="false">MEDIAN(I6:I20)</f>
        <v>0.865</v>
      </c>
      <c r="J24" s="9" t="n">
        <f aca="false">MEDIAN(J6:J20)</f>
        <v>0.8916</v>
      </c>
    </row>
    <row r="25" customFormat="false" ht="13.8" hidden="false" customHeight="false" outlineLevel="0" collapsed="false">
      <c r="C25" s="8" t="s">
        <v>195</v>
      </c>
      <c r="D25" s="8"/>
      <c r="E25" s="9" t="n">
        <f aca="false">E23/E22</f>
        <v>0.238711598714383</v>
      </c>
      <c r="F25" s="9" t="n">
        <f aca="false">F23/F22</f>
        <v>0.0859196686404725</v>
      </c>
      <c r="G25" s="9" t="n">
        <f aca="false">G23/G22</f>
        <v>0.0579755670778285</v>
      </c>
      <c r="H25" s="9" t="n">
        <f aca="false">H23/H22</f>
        <v>0.0108401454120247</v>
      </c>
      <c r="I25" s="9" t="n">
        <f aca="false">I23/I22</f>
        <v>0.0125868738372123</v>
      </c>
      <c r="J25" s="9" t="n">
        <f aca="false">J23/J22</f>
        <v>0.0213849333956406</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D1" colorId="64" zoomScale="91" zoomScaleNormal="91" zoomScalePageLayoutView="100" workbookViewId="0">
      <selection pane="topLeft" activeCell="K28" activeCellId="0" sqref="K28"/>
    </sheetView>
  </sheetViews>
  <sheetFormatPr defaultColWidth="10.5859375" defaultRowHeight="13.8" zeroHeight="false" outlineLevelRow="0" outlineLevelCol="0"/>
  <cols>
    <col collapsed="false" customWidth="true" hidden="false" outlineLevel="0" max="1" min="1" style="0" width="23.45"/>
    <col collapsed="false" customWidth="true" hidden="false" outlineLevel="0" max="2" min="2" style="0" width="179.8"/>
    <col collapsed="false" customWidth="true" hidden="false" outlineLevel="0" max="6" min="3" style="0" width="17.45"/>
    <col collapsed="false" customWidth="true" hidden="false" outlineLevel="0" max="12" min="9" style="0" width="27.02"/>
    <col collapsed="false" customWidth="true" hidden="false" outlineLevel="0" max="1024" min="1024" style="0" width="9.14"/>
  </cols>
  <sheetData>
    <row r="1" customFormat="false" ht="13.8" hidden="false" customHeight="false" outlineLevel="0" collapsed="false">
      <c r="A1" s="10" t="s">
        <v>57</v>
      </c>
      <c r="B1" s="10" t="s">
        <v>58</v>
      </c>
      <c r="C1" s="10" t="s">
        <v>59</v>
      </c>
      <c r="D1" s="10" t="s">
        <v>60</v>
      </c>
      <c r="E1" s="10" t="s">
        <v>61</v>
      </c>
      <c r="F1" s="10" t="s">
        <v>196</v>
      </c>
    </row>
    <row r="2" customFormat="false" ht="13.8" hidden="false" customHeight="false" outlineLevel="0" collapsed="false">
      <c r="A2" s="1" t="s">
        <v>197</v>
      </c>
    </row>
    <row r="3" customFormat="false" ht="13.8" hidden="false" customHeight="false" outlineLevel="0" collapsed="false">
      <c r="A3" s="11" t="s">
        <v>5</v>
      </c>
      <c r="B3" s="11" t="s">
        <v>63</v>
      </c>
      <c r="C3" s="11" t="s">
        <v>198</v>
      </c>
      <c r="D3" s="11" t="s">
        <v>199</v>
      </c>
      <c r="E3" s="11" t="s">
        <v>200</v>
      </c>
      <c r="F3" s="11" t="s">
        <v>67</v>
      </c>
      <c r="I3" s="7" t="s">
        <v>68</v>
      </c>
      <c r="J3" s="7"/>
    </row>
    <row r="4" customFormat="false" ht="13.8" hidden="false" customHeight="false" outlineLevel="0" collapsed="false">
      <c r="A4" s="5" t="s">
        <v>69</v>
      </c>
      <c r="B4" s="0" t="s">
        <v>201</v>
      </c>
      <c r="C4" s="5" t="n">
        <v>2</v>
      </c>
      <c r="D4" s="5" t="n">
        <v>0</v>
      </c>
      <c r="E4" s="5" t="n">
        <v>2</v>
      </c>
      <c r="F4" s="5" t="n">
        <v>2</v>
      </c>
      <c r="I4" s="12" t="s">
        <v>71</v>
      </c>
      <c r="J4" s="12"/>
      <c r="K4" s="12" t="s">
        <v>72</v>
      </c>
      <c r="L4" s="12"/>
    </row>
    <row r="5" customFormat="false" ht="13.8" hidden="false" customHeight="false" outlineLevel="0" collapsed="false">
      <c r="A5" s="5" t="s">
        <v>73</v>
      </c>
      <c r="B5" s="0" t="s">
        <v>202</v>
      </c>
      <c r="C5" s="5" t="n">
        <v>4</v>
      </c>
      <c r="D5" s="5" t="n">
        <v>2</v>
      </c>
      <c r="E5" s="5" t="n">
        <v>2</v>
      </c>
      <c r="F5" s="5" t="n">
        <v>4</v>
      </c>
      <c r="I5" s="0" t="s">
        <v>75</v>
      </c>
      <c r="J5" s="0" t="s">
        <v>76</v>
      </c>
      <c r="K5" s="0" t="s">
        <v>75</v>
      </c>
      <c r="L5" s="0" t="s">
        <v>76</v>
      </c>
    </row>
    <row r="6" customFormat="false" ht="13.8" hidden="false" customHeight="false" outlineLevel="0" collapsed="false">
      <c r="A6" s="5" t="s">
        <v>77</v>
      </c>
      <c r="B6" s="0" t="s">
        <v>203</v>
      </c>
      <c r="C6" s="5" t="n">
        <v>2</v>
      </c>
      <c r="D6" s="5" t="n">
        <v>0</v>
      </c>
      <c r="E6" s="5" t="n">
        <v>2</v>
      </c>
      <c r="F6" s="5" t="n">
        <v>2</v>
      </c>
      <c r="I6" s="0" t="n">
        <v>12</v>
      </c>
      <c r="J6" s="0" t="n">
        <v>3</v>
      </c>
      <c r="K6" s="0" t="n">
        <v>3</v>
      </c>
      <c r="L6" s="0" t="n">
        <v>12</v>
      </c>
    </row>
    <row r="7" customFormat="false" ht="13.8" hidden="false" customHeight="false" outlineLevel="0" collapsed="false">
      <c r="A7" s="5" t="s">
        <v>79</v>
      </c>
      <c r="B7" s="0" t="s">
        <v>204</v>
      </c>
      <c r="C7" s="5" t="n">
        <v>4</v>
      </c>
      <c r="D7" s="5" t="n">
        <v>0</v>
      </c>
      <c r="E7" s="5" t="n">
        <v>4</v>
      </c>
      <c r="F7" s="5" t="n">
        <v>4</v>
      </c>
    </row>
    <row r="8" customFormat="false" ht="13.8" hidden="false" customHeight="false" outlineLevel="0" collapsed="false">
      <c r="A8" s="5" t="s">
        <v>81</v>
      </c>
      <c r="B8" s="0" t="s">
        <v>205</v>
      </c>
      <c r="C8" s="5" t="n">
        <v>2</v>
      </c>
      <c r="D8" s="5" t="n">
        <v>0</v>
      </c>
      <c r="E8" s="5" t="n">
        <v>2</v>
      </c>
      <c r="F8" s="5" t="n">
        <v>2</v>
      </c>
    </row>
    <row r="9" customFormat="false" ht="13.8" hidden="false" customHeight="false" outlineLevel="0" collapsed="false">
      <c r="A9" s="5" t="s">
        <v>83</v>
      </c>
      <c r="B9" s="0" t="s">
        <v>206</v>
      </c>
      <c r="C9" s="5" t="n">
        <v>4</v>
      </c>
      <c r="D9" s="5" t="n">
        <v>0</v>
      </c>
      <c r="E9" s="5" t="n">
        <v>4</v>
      </c>
      <c r="F9" s="5" t="n">
        <v>4</v>
      </c>
    </row>
    <row r="10" customFormat="false" ht="13.8" hidden="false" customHeight="false" outlineLevel="0" collapsed="false">
      <c r="A10" s="5" t="s">
        <v>85</v>
      </c>
      <c r="B10" s="0" t="s">
        <v>201</v>
      </c>
      <c r="C10" s="5" t="n">
        <v>2</v>
      </c>
      <c r="D10" s="5" t="n">
        <v>0</v>
      </c>
      <c r="E10" s="5" t="n">
        <v>2</v>
      </c>
      <c r="F10" s="5" t="n">
        <v>2</v>
      </c>
    </row>
    <row r="11" customFormat="false" ht="13.8" hidden="false" customHeight="false" outlineLevel="0" collapsed="false">
      <c r="A11" s="5" t="s">
        <v>87</v>
      </c>
      <c r="B11" s="0" t="s">
        <v>207</v>
      </c>
      <c r="C11" s="5" t="n">
        <v>6</v>
      </c>
      <c r="D11" s="5" t="n">
        <v>2</v>
      </c>
      <c r="E11" s="5" t="n">
        <v>4</v>
      </c>
      <c r="F11" s="5" t="n">
        <v>4</v>
      </c>
    </row>
    <row r="12" customFormat="false" ht="13.8" hidden="false" customHeight="false" outlineLevel="0" collapsed="false">
      <c r="A12" s="5" t="s">
        <v>89</v>
      </c>
      <c r="B12" s="0" t="s">
        <v>208</v>
      </c>
      <c r="C12" s="5" t="n">
        <v>2</v>
      </c>
      <c r="D12" s="5" t="n">
        <v>0</v>
      </c>
      <c r="E12" s="5" t="n">
        <v>2</v>
      </c>
      <c r="F12" s="5" t="n">
        <v>2</v>
      </c>
    </row>
    <row r="13" customFormat="false" ht="13.8" hidden="false" customHeight="false" outlineLevel="0" collapsed="false">
      <c r="A13" s="5" t="s">
        <v>91</v>
      </c>
      <c r="B13" s="0" t="s">
        <v>209</v>
      </c>
      <c r="C13" s="5" t="n">
        <v>2</v>
      </c>
      <c r="D13" s="5" t="n">
        <v>0</v>
      </c>
      <c r="E13" s="5" t="n">
        <v>2</v>
      </c>
      <c r="F13" s="5" t="n">
        <v>2</v>
      </c>
    </row>
    <row r="14" customFormat="false" ht="13.8" hidden="false" customHeight="false" outlineLevel="0" collapsed="false">
      <c r="A14" s="5" t="s">
        <v>93</v>
      </c>
      <c r="B14" s="0" t="s">
        <v>210</v>
      </c>
      <c r="C14" s="5" t="n">
        <v>3</v>
      </c>
      <c r="D14" s="5" t="n">
        <v>0</v>
      </c>
      <c r="E14" s="5" t="n">
        <v>3</v>
      </c>
      <c r="F14" s="5" t="n">
        <v>3</v>
      </c>
    </row>
    <row r="15" customFormat="false" ht="13.8" hidden="false" customHeight="false" outlineLevel="0" collapsed="false">
      <c r="A15" s="5" t="s">
        <v>95</v>
      </c>
      <c r="B15" s="0" t="s">
        <v>208</v>
      </c>
      <c r="C15" s="5" t="n">
        <v>2</v>
      </c>
      <c r="D15" s="5" t="n">
        <v>0</v>
      </c>
      <c r="E15" s="5" t="n">
        <v>2</v>
      </c>
      <c r="F15" s="5" t="n">
        <v>2</v>
      </c>
    </row>
    <row r="16" customFormat="false" ht="13.8" hidden="false" customHeight="false" outlineLevel="0" collapsed="false">
      <c r="A16" s="5" t="s">
        <v>96</v>
      </c>
      <c r="B16" s="0" t="s">
        <v>211</v>
      </c>
      <c r="C16" s="5" t="n">
        <v>8</v>
      </c>
      <c r="D16" s="5" t="n">
        <v>4</v>
      </c>
      <c r="E16" s="5" t="n">
        <v>4</v>
      </c>
      <c r="F16" s="5" t="n">
        <v>4</v>
      </c>
    </row>
    <row r="17" customFormat="false" ht="13.8" hidden="false" customHeight="false" outlineLevel="0" collapsed="false">
      <c r="A17" s="5" t="s">
        <v>98</v>
      </c>
      <c r="B17" s="0" t="s">
        <v>212</v>
      </c>
      <c r="C17" s="5" t="n">
        <v>2</v>
      </c>
      <c r="D17" s="5" t="n">
        <v>0</v>
      </c>
      <c r="E17" s="5" t="n">
        <v>2</v>
      </c>
      <c r="F17" s="5" t="n">
        <v>2</v>
      </c>
    </row>
    <row r="18" customFormat="false" ht="13.8" hidden="false" customHeight="false" outlineLevel="0" collapsed="false">
      <c r="A18" s="5" t="s">
        <v>99</v>
      </c>
      <c r="B18" s="0" t="s">
        <v>208</v>
      </c>
      <c r="C18" s="5" t="n">
        <v>2</v>
      </c>
      <c r="D18" s="5" t="n">
        <v>0</v>
      </c>
      <c r="E18" s="5" t="n">
        <v>2</v>
      </c>
      <c r="F18" s="5" t="n">
        <v>2</v>
      </c>
    </row>
    <row r="20" customFormat="false" ht="13.8" hidden="false" customHeight="false" outlineLevel="0" collapsed="false">
      <c r="B20" s="8" t="s">
        <v>101</v>
      </c>
      <c r="C20" s="13" t="n">
        <f aca="false">SUM(C4:C18)</f>
        <v>47</v>
      </c>
      <c r="D20" s="13" t="n">
        <f aca="false">SUM(D4:D18)</f>
        <v>8</v>
      </c>
      <c r="E20" s="13" t="n">
        <f aca="false">SUM(E4:E18)</f>
        <v>39</v>
      </c>
      <c r="F20" s="13" t="n">
        <f aca="false">SUM(F4:F18)</f>
        <v>41</v>
      </c>
    </row>
    <row r="21" customFormat="false" ht="13.8" hidden="false" customHeight="false" outlineLevel="0" collapsed="false">
      <c r="B21" s="8" t="s">
        <v>102</v>
      </c>
      <c r="C21" s="14"/>
      <c r="D21" s="14" t="n">
        <f aca="false">D20/C20*100</f>
        <v>17.0212765957447</v>
      </c>
      <c r="E21" s="14" t="n">
        <f aca="false">E20/C20*100</f>
        <v>82.9787234042553</v>
      </c>
      <c r="F21" s="14"/>
    </row>
    <row r="28" customFormat="false" ht="13.8" hidden="false" customHeight="false" outlineLevel="0" collapsed="false">
      <c r="A28" s="11" t="s">
        <v>5</v>
      </c>
      <c r="B28" s="11" t="s">
        <v>103</v>
      </c>
      <c r="C28" s="11" t="s">
        <v>198</v>
      </c>
      <c r="D28" s="11" t="s">
        <v>199</v>
      </c>
      <c r="E28" s="11" t="s">
        <v>200</v>
      </c>
      <c r="F28" s="11" t="s">
        <v>67</v>
      </c>
    </row>
    <row r="29" customFormat="false" ht="13.8" hidden="false" customHeight="false" outlineLevel="0" collapsed="false">
      <c r="A29" s="5" t="s">
        <v>69</v>
      </c>
      <c r="B29" s="0" t="s">
        <v>213</v>
      </c>
      <c r="C29" s="5" t="n">
        <v>4</v>
      </c>
      <c r="D29" s="5" t="n">
        <v>2</v>
      </c>
      <c r="E29" s="5" t="n">
        <v>2</v>
      </c>
      <c r="F29" s="5" t="n">
        <v>4</v>
      </c>
    </row>
    <row r="30" customFormat="false" ht="13.8" hidden="false" customHeight="false" outlineLevel="0" collapsed="false">
      <c r="A30" s="5" t="s">
        <v>73</v>
      </c>
      <c r="B30" s="0" t="s">
        <v>214</v>
      </c>
      <c r="C30" s="5" t="n">
        <v>2</v>
      </c>
      <c r="D30" s="5" t="n">
        <v>2</v>
      </c>
      <c r="E30" s="5" t="n">
        <v>0</v>
      </c>
      <c r="F30" s="5" t="n">
        <v>4</v>
      </c>
    </row>
    <row r="31" customFormat="false" ht="13.8" hidden="false" customHeight="false" outlineLevel="0" collapsed="false">
      <c r="A31" s="5" t="s">
        <v>77</v>
      </c>
      <c r="B31" s="0" t="s">
        <v>215</v>
      </c>
      <c r="C31" s="5" t="n">
        <v>2</v>
      </c>
      <c r="D31" s="5" t="n">
        <v>2</v>
      </c>
      <c r="E31" s="5" t="n">
        <v>0</v>
      </c>
      <c r="F31" s="5" t="n">
        <v>4</v>
      </c>
    </row>
    <row r="32" customFormat="false" ht="13.8" hidden="false" customHeight="false" outlineLevel="0" collapsed="false">
      <c r="A32" s="5" t="s">
        <v>79</v>
      </c>
      <c r="B32" s="0" t="s">
        <v>216</v>
      </c>
      <c r="C32" s="5" t="n">
        <v>4</v>
      </c>
      <c r="D32" s="5" t="n">
        <v>0</v>
      </c>
      <c r="E32" s="5" t="n">
        <v>4</v>
      </c>
      <c r="F32" s="5" t="n">
        <v>4</v>
      </c>
    </row>
    <row r="33" customFormat="false" ht="13.8" hidden="false" customHeight="false" outlineLevel="0" collapsed="false">
      <c r="A33" s="5" t="s">
        <v>81</v>
      </c>
      <c r="B33" s="0" t="s">
        <v>217</v>
      </c>
      <c r="C33" s="5" t="n">
        <v>3</v>
      </c>
      <c r="D33" s="5" t="n">
        <v>1</v>
      </c>
      <c r="E33" s="5" t="n">
        <v>2</v>
      </c>
      <c r="F33" s="5" t="n">
        <v>2</v>
      </c>
    </row>
    <row r="34" customFormat="false" ht="13.8" hidden="false" customHeight="false" outlineLevel="0" collapsed="false">
      <c r="A34" s="5" t="s">
        <v>83</v>
      </c>
      <c r="B34" s="0" t="s">
        <v>218</v>
      </c>
      <c r="C34" s="5" t="n">
        <v>5</v>
      </c>
      <c r="D34" s="5" t="n">
        <v>5</v>
      </c>
      <c r="E34" s="5" t="n">
        <v>0</v>
      </c>
      <c r="F34" s="5" t="n">
        <v>4</v>
      </c>
    </row>
    <row r="35" customFormat="false" ht="13.8" hidden="false" customHeight="false" outlineLevel="0" collapsed="false">
      <c r="A35" s="5" t="s">
        <v>85</v>
      </c>
      <c r="B35" s="0" t="s">
        <v>219</v>
      </c>
      <c r="C35" s="5" t="n">
        <v>4</v>
      </c>
      <c r="D35" s="5" t="n">
        <v>3</v>
      </c>
      <c r="E35" s="5" t="n">
        <v>1</v>
      </c>
      <c r="F35" s="5" t="n">
        <v>4</v>
      </c>
    </row>
    <row r="36" customFormat="false" ht="13.8" hidden="false" customHeight="false" outlineLevel="0" collapsed="false">
      <c r="A36" s="5" t="s">
        <v>87</v>
      </c>
      <c r="B36" s="0" t="s">
        <v>220</v>
      </c>
      <c r="C36" s="5" t="n">
        <v>3</v>
      </c>
      <c r="D36" s="5" t="n">
        <v>1</v>
      </c>
      <c r="E36" s="5" t="n">
        <v>2</v>
      </c>
      <c r="F36" s="5" t="n">
        <v>2</v>
      </c>
    </row>
    <row r="37" customFormat="false" ht="13.8" hidden="false" customHeight="false" outlineLevel="0" collapsed="false">
      <c r="A37" s="5" t="s">
        <v>89</v>
      </c>
      <c r="B37" s="0" t="s">
        <v>221</v>
      </c>
      <c r="C37" s="5" t="n">
        <v>2</v>
      </c>
      <c r="D37" s="5" t="n">
        <v>0</v>
      </c>
      <c r="E37" s="5" t="n">
        <v>2</v>
      </c>
      <c r="F37" s="5" t="n">
        <v>2</v>
      </c>
    </row>
    <row r="38" customFormat="false" ht="13.8" hidden="false" customHeight="false" outlineLevel="0" collapsed="false">
      <c r="A38" s="5" t="s">
        <v>91</v>
      </c>
      <c r="B38" s="0" t="s">
        <v>222</v>
      </c>
      <c r="C38" s="5" t="n">
        <v>4</v>
      </c>
      <c r="D38" s="5" t="n">
        <v>2</v>
      </c>
      <c r="E38" s="5" t="n">
        <v>2</v>
      </c>
      <c r="F38" s="5" t="n">
        <v>4</v>
      </c>
    </row>
    <row r="39" customFormat="false" ht="13.8" hidden="false" customHeight="false" outlineLevel="0" collapsed="false">
      <c r="A39" s="5" t="s">
        <v>93</v>
      </c>
      <c r="B39" s="0" t="s">
        <v>223</v>
      </c>
      <c r="C39" s="5" t="n">
        <v>3</v>
      </c>
      <c r="D39" s="5" t="n">
        <v>0</v>
      </c>
      <c r="E39" s="5" t="n">
        <v>3</v>
      </c>
      <c r="F39" s="5" t="n">
        <v>3</v>
      </c>
    </row>
    <row r="40" customFormat="false" ht="13.8" hidden="false" customHeight="false" outlineLevel="0" collapsed="false">
      <c r="A40" s="5" t="s">
        <v>95</v>
      </c>
      <c r="B40" s="0" t="s">
        <v>224</v>
      </c>
      <c r="C40" s="5" t="n">
        <v>6</v>
      </c>
      <c r="D40" s="5" t="n">
        <v>5</v>
      </c>
      <c r="E40" s="5" t="n">
        <v>1</v>
      </c>
      <c r="F40" s="5" t="n">
        <v>3</v>
      </c>
    </row>
    <row r="41" customFormat="false" ht="13.8" hidden="false" customHeight="false" outlineLevel="0" collapsed="false">
      <c r="A41" s="5" t="s">
        <v>96</v>
      </c>
      <c r="B41" s="0" t="s">
        <v>225</v>
      </c>
      <c r="C41" s="5" t="n">
        <v>4</v>
      </c>
      <c r="D41" s="5" t="n">
        <v>3</v>
      </c>
      <c r="E41" s="5" t="n">
        <v>1</v>
      </c>
      <c r="F41" s="5" t="n">
        <v>3</v>
      </c>
    </row>
    <row r="42" customFormat="false" ht="13.8" hidden="false" customHeight="false" outlineLevel="0" collapsed="false">
      <c r="A42" s="5" t="s">
        <v>98</v>
      </c>
      <c r="B42" s="0" t="s">
        <v>226</v>
      </c>
      <c r="C42" s="5" t="n">
        <v>6</v>
      </c>
      <c r="D42" s="5" t="n">
        <v>5</v>
      </c>
      <c r="E42" s="5" t="n">
        <v>1</v>
      </c>
      <c r="F42" s="5" t="n">
        <v>3</v>
      </c>
    </row>
    <row r="43" customFormat="false" ht="13.8" hidden="false" customHeight="false" outlineLevel="0" collapsed="false">
      <c r="A43" s="5" t="s">
        <v>99</v>
      </c>
      <c r="B43" s="0" t="s">
        <v>227</v>
      </c>
      <c r="C43" s="5" t="n">
        <v>3</v>
      </c>
      <c r="D43" s="5" t="n">
        <v>1</v>
      </c>
      <c r="E43" s="5" t="n">
        <v>2</v>
      </c>
      <c r="F43" s="5" t="n">
        <v>3</v>
      </c>
    </row>
    <row r="45" customFormat="false" ht="13.8" hidden="false" customHeight="false" outlineLevel="0" collapsed="false">
      <c r="B45" s="8" t="s">
        <v>101</v>
      </c>
      <c r="C45" s="13" t="n">
        <f aca="false">SUM(C29:C43)</f>
        <v>55</v>
      </c>
      <c r="D45" s="13" t="n">
        <f aca="false">SUM(D29:D43)</f>
        <v>32</v>
      </c>
      <c r="E45" s="13" t="n">
        <f aca="false">SUM(E29:E43)</f>
        <v>23</v>
      </c>
      <c r="F45" s="13" t="n">
        <f aca="false">SUM(F29:F43)</f>
        <v>49</v>
      </c>
    </row>
    <row r="46" customFormat="false" ht="13.8" hidden="false" customHeight="false" outlineLevel="0" collapsed="false">
      <c r="B46" s="8" t="s">
        <v>102</v>
      </c>
      <c r="C46" s="14"/>
      <c r="D46" s="14" t="n">
        <f aca="false">D45/C45*100</f>
        <v>58.1818181818182</v>
      </c>
      <c r="E46" s="14" t="n">
        <f aca="false">E45/C45*100</f>
        <v>41.8181818181818</v>
      </c>
      <c r="F46" s="14"/>
    </row>
  </sheetData>
  <mergeCells count="2">
    <mergeCell ref="I4:J4"/>
    <mergeCell ref="K4:L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19" colorId="64" zoomScale="91" zoomScaleNormal="91" zoomScalePageLayoutView="100" workbookViewId="0">
      <selection pane="topLeft" activeCell="F82" activeCellId="0" sqref="F82"/>
    </sheetView>
  </sheetViews>
  <sheetFormatPr defaultColWidth="10.5859375" defaultRowHeight="13.8" zeroHeight="false" outlineLevelRow="0" outlineLevelCol="0"/>
  <cols>
    <col collapsed="false" customWidth="true" hidden="false" outlineLevel="0" max="1" min="1" style="0" width="41.22"/>
    <col collapsed="false" customWidth="true" hidden="false" outlineLevel="0" max="2" min="2" style="0" width="37.88"/>
    <col collapsed="false" customWidth="true" hidden="false" outlineLevel="0" max="3" min="3" style="0" width="80.89"/>
    <col collapsed="false" customWidth="true" hidden="false" outlineLevel="0" max="4" min="4" style="0" width="40.44"/>
    <col collapsed="false" customWidth="true" hidden="false" outlineLevel="0" max="6" min="5" style="0" width="26.89"/>
  </cols>
  <sheetData>
    <row r="1" customFormat="false" ht="13.8" hidden="false" customHeight="false" outlineLevel="0" collapsed="false">
      <c r="A1" s="10" t="s">
        <v>57</v>
      </c>
      <c r="B1" s="10" t="s">
        <v>119</v>
      </c>
      <c r="C1" s="10" t="s">
        <v>120</v>
      </c>
      <c r="D1" s="10" t="s">
        <v>58</v>
      </c>
    </row>
    <row r="2" customFormat="false" ht="13.8" hidden="false" customHeight="false" outlineLevel="0" collapsed="false">
      <c r="A2" s="1" t="s">
        <v>228</v>
      </c>
    </row>
    <row r="3" customFormat="false" ht="13.8" hidden="false" customHeight="false" outlineLevel="0" collapsed="false">
      <c r="A3" s="11" t="s">
        <v>5</v>
      </c>
      <c r="B3" s="11" t="s">
        <v>122</v>
      </c>
      <c r="C3" s="11" t="s">
        <v>123</v>
      </c>
    </row>
    <row r="4" customFormat="false" ht="13.8" hidden="false" customHeight="false" outlineLevel="0" collapsed="false">
      <c r="A4" s="0" t="s">
        <v>69</v>
      </c>
      <c r="B4" s="1" t="s">
        <v>124</v>
      </c>
      <c r="C4" s="0" t="s">
        <v>229</v>
      </c>
    </row>
    <row r="5" customFormat="false" ht="13.8" hidden="false" customHeight="false" outlineLevel="0" collapsed="false">
      <c r="A5" s="0" t="s">
        <v>69</v>
      </c>
      <c r="B5" s="1" t="s">
        <v>126</v>
      </c>
      <c r="C5" s="0" t="n">
        <v>2</v>
      </c>
    </row>
    <row r="6" customFormat="false" ht="13.8" hidden="false" customHeight="false" outlineLevel="0" collapsed="false">
      <c r="A6" s="0" t="s">
        <v>69</v>
      </c>
      <c r="B6" s="1" t="s">
        <v>127</v>
      </c>
      <c r="C6" s="0" t="n">
        <v>0</v>
      </c>
    </row>
    <row r="7" customFormat="false" ht="13.8" hidden="false" customHeight="false" outlineLevel="0" collapsed="false">
      <c r="A7" s="0" t="s">
        <v>69</v>
      </c>
      <c r="B7" s="1" t="s">
        <v>128</v>
      </c>
      <c r="C7" s="0" t="n">
        <v>2</v>
      </c>
    </row>
    <row r="8" customFormat="false" ht="13.8" hidden="false" customHeight="false" outlineLevel="0" collapsed="false">
      <c r="B8" s="1"/>
    </row>
    <row r="9" customFormat="false" ht="13.8" hidden="false" customHeight="false" outlineLevel="0" collapsed="false">
      <c r="A9" s="0" t="s">
        <v>73</v>
      </c>
      <c r="B9" s="1" t="s">
        <v>124</v>
      </c>
      <c r="C9" s="0" t="s">
        <v>230</v>
      </c>
    </row>
    <row r="10" customFormat="false" ht="13.8" hidden="false" customHeight="false" outlineLevel="0" collapsed="false">
      <c r="A10" s="0" t="s">
        <v>73</v>
      </c>
      <c r="B10" s="1" t="s">
        <v>126</v>
      </c>
      <c r="C10" s="0" t="n">
        <v>4</v>
      </c>
    </row>
    <row r="11" customFormat="false" ht="13.8" hidden="false" customHeight="false" outlineLevel="0" collapsed="false">
      <c r="A11" s="0" t="s">
        <v>73</v>
      </c>
      <c r="B11" s="1" t="s">
        <v>127</v>
      </c>
      <c r="C11" s="0" t="n">
        <v>0</v>
      </c>
    </row>
    <row r="12" customFormat="false" ht="13.8" hidden="false" customHeight="false" outlineLevel="0" collapsed="false">
      <c r="A12" s="0" t="s">
        <v>73</v>
      </c>
      <c r="B12" s="1" t="s">
        <v>128</v>
      </c>
      <c r="C12" s="0" t="n">
        <v>4</v>
      </c>
    </row>
    <row r="13" customFormat="false" ht="13.8" hidden="false" customHeight="false" outlineLevel="0" collapsed="false">
      <c r="B13" s="1"/>
    </row>
    <row r="14" customFormat="false" ht="13.8" hidden="false" customHeight="false" outlineLevel="0" collapsed="false">
      <c r="A14" s="0" t="s">
        <v>77</v>
      </c>
      <c r="B14" s="1" t="s">
        <v>124</v>
      </c>
      <c r="C14" s="0" t="s">
        <v>231</v>
      </c>
    </row>
    <row r="15" customFormat="false" ht="13.8" hidden="false" customHeight="false" outlineLevel="0" collapsed="false">
      <c r="A15" s="0" t="s">
        <v>77</v>
      </c>
      <c r="B15" s="1" t="s">
        <v>126</v>
      </c>
      <c r="C15" s="0" t="n">
        <v>2</v>
      </c>
    </row>
    <row r="16" customFormat="false" ht="13.8" hidden="false" customHeight="false" outlineLevel="0" collapsed="false">
      <c r="A16" s="0" t="s">
        <v>77</v>
      </c>
      <c r="B16" s="1" t="s">
        <v>127</v>
      </c>
      <c r="C16" s="0" t="n">
        <v>0</v>
      </c>
    </row>
    <row r="17" customFormat="false" ht="13.8" hidden="false" customHeight="false" outlineLevel="0" collapsed="false">
      <c r="A17" s="0" t="s">
        <v>77</v>
      </c>
      <c r="B17" s="1" t="s">
        <v>128</v>
      </c>
      <c r="C17" s="0" t="n">
        <v>2</v>
      </c>
    </row>
    <row r="18" customFormat="false" ht="13.8" hidden="false" customHeight="false" outlineLevel="0" collapsed="false">
      <c r="B18" s="1"/>
    </row>
    <row r="19" customFormat="false" ht="13.8" hidden="false" customHeight="false" outlineLevel="0" collapsed="false">
      <c r="A19" s="0" t="s">
        <v>79</v>
      </c>
      <c r="B19" s="1" t="s">
        <v>124</v>
      </c>
      <c r="C19" s="0" t="s">
        <v>232</v>
      </c>
    </row>
    <row r="20" customFormat="false" ht="13.8" hidden="false" customHeight="false" outlineLevel="0" collapsed="false">
      <c r="A20" s="0" t="s">
        <v>79</v>
      </c>
      <c r="B20" s="1" t="s">
        <v>126</v>
      </c>
      <c r="C20" s="0" t="n">
        <v>4</v>
      </c>
    </row>
    <row r="21" customFormat="false" ht="13.8" hidden="false" customHeight="false" outlineLevel="0" collapsed="false">
      <c r="A21" s="0" t="s">
        <v>79</v>
      </c>
      <c r="B21" s="1" t="s">
        <v>127</v>
      </c>
      <c r="C21" s="0" t="n">
        <v>0</v>
      </c>
    </row>
    <row r="22" customFormat="false" ht="13.8" hidden="false" customHeight="false" outlineLevel="0" collapsed="false">
      <c r="A22" s="0" t="s">
        <v>79</v>
      </c>
      <c r="B22" s="1" t="s">
        <v>128</v>
      </c>
      <c r="C22" s="0" t="n">
        <v>4</v>
      </c>
    </row>
    <row r="23" customFormat="false" ht="13.8" hidden="false" customHeight="false" outlineLevel="0" collapsed="false">
      <c r="B23" s="1"/>
    </row>
    <row r="24" customFormat="false" ht="13.8" hidden="false" customHeight="false" outlineLevel="0" collapsed="false">
      <c r="A24" s="0" t="s">
        <v>81</v>
      </c>
      <c r="B24" s="1" t="s">
        <v>124</v>
      </c>
      <c r="C24" s="0" t="s">
        <v>231</v>
      </c>
    </row>
    <row r="25" customFormat="false" ht="13.8" hidden="false" customHeight="false" outlineLevel="0" collapsed="false">
      <c r="A25" s="0" t="s">
        <v>81</v>
      </c>
      <c r="B25" s="1" t="s">
        <v>126</v>
      </c>
      <c r="C25" s="0" t="n">
        <v>2</v>
      </c>
    </row>
    <row r="26" customFormat="false" ht="13.8" hidden="false" customHeight="false" outlineLevel="0" collapsed="false">
      <c r="A26" s="0" t="s">
        <v>81</v>
      </c>
      <c r="B26" s="1" t="s">
        <v>127</v>
      </c>
      <c r="C26" s="0" t="n">
        <v>0</v>
      </c>
    </row>
    <row r="27" customFormat="false" ht="13.8" hidden="false" customHeight="false" outlineLevel="0" collapsed="false">
      <c r="A27" s="0" t="s">
        <v>81</v>
      </c>
      <c r="B27" s="1" t="s">
        <v>128</v>
      </c>
      <c r="C27" s="0" t="n">
        <v>2</v>
      </c>
    </row>
    <row r="28" customFormat="false" ht="13.8" hidden="false" customHeight="false" outlineLevel="0" collapsed="false">
      <c r="B28" s="1"/>
    </row>
    <row r="29" customFormat="false" ht="13.8" hidden="false" customHeight="false" outlineLevel="0" collapsed="false">
      <c r="A29" s="0" t="s">
        <v>83</v>
      </c>
      <c r="B29" s="1" t="s">
        <v>124</v>
      </c>
      <c r="C29" s="0" t="s">
        <v>233</v>
      </c>
    </row>
    <row r="30" customFormat="false" ht="13.8" hidden="false" customHeight="false" outlineLevel="0" collapsed="false">
      <c r="A30" s="0" t="s">
        <v>83</v>
      </c>
      <c r="B30" s="1" t="s">
        <v>126</v>
      </c>
      <c r="C30" s="0" t="n">
        <v>4</v>
      </c>
    </row>
    <row r="31" customFormat="false" ht="13.8" hidden="false" customHeight="false" outlineLevel="0" collapsed="false">
      <c r="A31" s="0" t="s">
        <v>83</v>
      </c>
      <c r="B31" s="1" t="s">
        <v>127</v>
      </c>
      <c r="C31" s="0" t="n">
        <v>0</v>
      </c>
    </row>
    <row r="32" customFormat="false" ht="13.8" hidden="false" customHeight="false" outlineLevel="0" collapsed="false">
      <c r="A32" s="0" t="s">
        <v>83</v>
      </c>
      <c r="B32" s="1" t="s">
        <v>128</v>
      </c>
      <c r="C32" s="0" t="n">
        <v>4</v>
      </c>
    </row>
    <row r="33" customFormat="false" ht="13.8" hidden="false" customHeight="false" outlineLevel="0" collapsed="false">
      <c r="B33" s="1"/>
    </row>
    <row r="34" customFormat="false" ht="13.8" hidden="false" customHeight="false" outlineLevel="0" collapsed="false">
      <c r="A34" s="0" t="s">
        <v>85</v>
      </c>
      <c r="B34" s="1" t="s">
        <v>124</v>
      </c>
      <c r="C34" s="0" t="s">
        <v>229</v>
      </c>
    </row>
    <row r="35" customFormat="false" ht="13.8" hidden="false" customHeight="false" outlineLevel="0" collapsed="false">
      <c r="A35" s="0" t="s">
        <v>85</v>
      </c>
      <c r="B35" s="1" t="s">
        <v>126</v>
      </c>
      <c r="C35" s="0" t="n">
        <v>2</v>
      </c>
    </row>
    <row r="36" customFormat="false" ht="13.8" hidden="false" customHeight="false" outlineLevel="0" collapsed="false">
      <c r="A36" s="0" t="s">
        <v>85</v>
      </c>
      <c r="B36" s="1" t="s">
        <v>127</v>
      </c>
      <c r="C36" s="0" t="n">
        <v>0</v>
      </c>
    </row>
    <row r="37" customFormat="false" ht="13.8" hidden="false" customHeight="false" outlineLevel="0" collapsed="false">
      <c r="A37" s="0" t="s">
        <v>85</v>
      </c>
      <c r="B37" s="1" t="s">
        <v>128</v>
      </c>
      <c r="C37" s="0" t="n">
        <v>2</v>
      </c>
    </row>
    <row r="38" customFormat="false" ht="13.8" hidden="false" customHeight="false" outlineLevel="0" collapsed="false">
      <c r="B38" s="1"/>
    </row>
    <row r="39" customFormat="false" ht="13.8" hidden="false" customHeight="false" outlineLevel="0" collapsed="false">
      <c r="A39" s="0" t="s">
        <v>87</v>
      </c>
      <c r="B39" s="1" t="s">
        <v>124</v>
      </c>
      <c r="C39" s="0" t="s">
        <v>234</v>
      </c>
    </row>
    <row r="40" customFormat="false" ht="13.8" hidden="false" customHeight="false" outlineLevel="0" collapsed="false">
      <c r="A40" s="0" t="s">
        <v>87</v>
      </c>
      <c r="B40" s="1" t="s">
        <v>126</v>
      </c>
      <c r="C40" s="0" t="n">
        <v>4</v>
      </c>
    </row>
    <row r="41" customFormat="false" ht="13.8" hidden="false" customHeight="false" outlineLevel="0" collapsed="false">
      <c r="A41" s="0" t="s">
        <v>87</v>
      </c>
      <c r="B41" s="1" t="s">
        <v>127</v>
      </c>
      <c r="C41" s="0" t="n">
        <v>2</v>
      </c>
    </row>
    <row r="42" customFormat="false" ht="13.8" hidden="false" customHeight="false" outlineLevel="0" collapsed="false">
      <c r="A42" s="0" t="s">
        <v>87</v>
      </c>
      <c r="B42" s="1" t="s">
        <v>128</v>
      </c>
      <c r="C42" s="0" t="n">
        <v>2</v>
      </c>
    </row>
    <row r="43" customFormat="false" ht="13.8" hidden="false" customHeight="false" outlineLevel="0" collapsed="false">
      <c r="B43" s="1"/>
    </row>
    <row r="44" customFormat="false" ht="13.8" hidden="false" customHeight="false" outlineLevel="0" collapsed="false">
      <c r="A44" s="0" t="s">
        <v>89</v>
      </c>
      <c r="B44" s="1" t="s">
        <v>124</v>
      </c>
      <c r="C44" s="0" t="s">
        <v>231</v>
      </c>
    </row>
    <row r="45" customFormat="false" ht="13.8" hidden="false" customHeight="false" outlineLevel="0" collapsed="false">
      <c r="A45" s="0" t="s">
        <v>89</v>
      </c>
      <c r="B45" s="1" t="s">
        <v>126</v>
      </c>
      <c r="C45" s="0" t="n">
        <v>2</v>
      </c>
    </row>
    <row r="46" customFormat="false" ht="13.8" hidden="false" customHeight="false" outlineLevel="0" collapsed="false">
      <c r="A46" s="0" t="s">
        <v>89</v>
      </c>
      <c r="B46" s="1" t="s">
        <v>127</v>
      </c>
      <c r="C46" s="0" t="n">
        <v>0</v>
      </c>
    </row>
    <row r="47" customFormat="false" ht="13.8" hidden="false" customHeight="false" outlineLevel="0" collapsed="false">
      <c r="A47" s="0" t="s">
        <v>89</v>
      </c>
      <c r="B47" s="1" t="s">
        <v>128</v>
      </c>
      <c r="C47" s="0" t="n">
        <v>2</v>
      </c>
    </row>
    <row r="48" customFormat="false" ht="13.8" hidden="false" customHeight="false" outlineLevel="0" collapsed="false">
      <c r="B48" s="1"/>
    </row>
    <row r="49" customFormat="false" ht="13.8" hidden="false" customHeight="false" outlineLevel="0" collapsed="false">
      <c r="A49" s="0" t="s">
        <v>91</v>
      </c>
      <c r="B49" s="1" t="s">
        <v>124</v>
      </c>
      <c r="C49" s="0" t="s">
        <v>229</v>
      </c>
    </row>
    <row r="50" customFormat="false" ht="13.8" hidden="false" customHeight="false" outlineLevel="0" collapsed="false">
      <c r="A50" s="0" t="s">
        <v>91</v>
      </c>
      <c r="B50" s="1" t="s">
        <v>126</v>
      </c>
      <c r="C50" s="0" t="n">
        <v>2</v>
      </c>
    </row>
    <row r="51" customFormat="false" ht="13.8" hidden="false" customHeight="false" outlineLevel="0" collapsed="false">
      <c r="A51" s="0" t="s">
        <v>91</v>
      </c>
      <c r="B51" s="1" t="s">
        <v>127</v>
      </c>
      <c r="C51" s="0" t="n">
        <v>0</v>
      </c>
    </row>
    <row r="52" customFormat="false" ht="13.8" hidden="false" customHeight="false" outlineLevel="0" collapsed="false">
      <c r="A52" s="0" t="s">
        <v>91</v>
      </c>
      <c r="B52" s="1" t="s">
        <v>128</v>
      </c>
      <c r="C52" s="0" t="n">
        <v>2</v>
      </c>
    </row>
    <row r="53" customFormat="false" ht="13.8" hidden="false" customHeight="false" outlineLevel="0" collapsed="false">
      <c r="B53" s="1"/>
    </row>
    <row r="54" customFormat="false" ht="13.8" hidden="false" customHeight="false" outlineLevel="0" collapsed="false">
      <c r="A54" s="0" t="s">
        <v>93</v>
      </c>
      <c r="B54" s="1" t="s">
        <v>124</v>
      </c>
      <c r="C54" s="0" t="s">
        <v>235</v>
      </c>
    </row>
    <row r="55" customFormat="false" ht="13.8" hidden="false" customHeight="false" outlineLevel="0" collapsed="false">
      <c r="A55" s="0" t="s">
        <v>93</v>
      </c>
      <c r="B55" s="1" t="s">
        <v>126</v>
      </c>
      <c r="C55" s="0" t="n">
        <v>3</v>
      </c>
    </row>
    <row r="56" customFormat="false" ht="13.8" hidden="false" customHeight="false" outlineLevel="0" collapsed="false">
      <c r="A56" s="0" t="s">
        <v>93</v>
      </c>
      <c r="B56" s="1" t="s">
        <v>127</v>
      </c>
      <c r="C56" s="0" t="n">
        <v>0</v>
      </c>
    </row>
    <row r="57" customFormat="false" ht="13.8" hidden="false" customHeight="false" outlineLevel="0" collapsed="false">
      <c r="A57" s="0" t="s">
        <v>93</v>
      </c>
      <c r="B57" s="1" t="s">
        <v>128</v>
      </c>
      <c r="C57" s="0" t="n">
        <v>3</v>
      </c>
    </row>
    <row r="58" customFormat="false" ht="13.8" hidden="false" customHeight="false" outlineLevel="0" collapsed="false">
      <c r="B58" s="1"/>
    </row>
    <row r="59" customFormat="false" ht="13.8" hidden="false" customHeight="false" outlineLevel="0" collapsed="false">
      <c r="A59" s="0" t="s">
        <v>95</v>
      </c>
      <c r="B59" s="1" t="s">
        <v>124</v>
      </c>
      <c r="C59" s="0" t="s">
        <v>231</v>
      </c>
    </row>
    <row r="60" customFormat="false" ht="13.8" hidden="false" customHeight="false" outlineLevel="0" collapsed="false">
      <c r="A60" s="0" t="s">
        <v>95</v>
      </c>
      <c r="B60" s="1" t="s">
        <v>126</v>
      </c>
      <c r="C60" s="0" t="n">
        <v>2</v>
      </c>
    </row>
    <row r="61" customFormat="false" ht="13.8" hidden="false" customHeight="false" outlineLevel="0" collapsed="false">
      <c r="A61" s="0" t="s">
        <v>95</v>
      </c>
      <c r="B61" s="1" t="s">
        <v>127</v>
      </c>
      <c r="C61" s="0" t="n">
        <v>0</v>
      </c>
    </row>
    <row r="62" customFormat="false" ht="13.8" hidden="false" customHeight="false" outlineLevel="0" collapsed="false">
      <c r="A62" s="0" t="s">
        <v>95</v>
      </c>
      <c r="B62" s="1" t="s">
        <v>128</v>
      </c>
      <c r="C62" s="0" t="n">
        <v>2</v>
      </c>
    </row>
    <row r="63" customFormat="false" ht="13.8" hidden="false" customHeight="false" outlineLevel="0" collapsed="false">
      <c r="B63" s="1"/>
    </row>
    <row r="64" customFormat="false" ht="13.8" hidden="false" customHeight="false" outlineLevel="0" collapsed="false">
      <c r="A64" s="0" t="s">
        <v>96</v>
      </c>
      <c r="B64" s="1" t="s">
        <v>124</v>
      </c>
      <c r="C64" s="0" t="s">
        <v>236</v>
      </c>
    </row>
    <row r="65" customFormat="false" ht="13.8" hidden="false" customHeight="false" outlineLevel="0" collapsed="false">
      <c r="A65" s="0" t="s">
        <v>96</v>
      </c>
      <c r="B65" s="1" t="s">
        <v>126</v>
      </c>
      <c r="C65" s="0" t="n">
        <v>4</v>
      </c>
    </row>
    <row r="66" customFormat="false" ht="13.8" hidden="false" customHeight="false" outlineLevel="0" collapsed="false">
      <c r="A66" s="0" t="s">
        <v>96</v>
      </c>
      <c r="B66" s="1" t="s">
        <v>127</v>
      </c>
      <c r="C66" s="0" t="n">
        <v>0</v>
      </c>
    </row>
    <row r="67" customFormat="false" ht="13.8" hidden="false" customHeight="false" outlineLevel="0" collapsed="false">
      <c r="A67" s="0" t="s">
        <v>96</v>
      </c>
      <c r="B67" s="1" t="s">
        <v>128</v>
      </c>
      <c r="C67" s="0" t="n">
        <v>4</v>
      </c>
    </row>
    <row r="68" customFormat="false" ht="13.8" hidden="false" customHeight="false" outlineLevel="0" collapsed="false">
      <c r="B68" s="1"/>
    </row>
    <row r="69" customFormat="false" ht="13.8" hidden="false" customHeight="false" outlineLevel="0" collapsed="false">
      <c r="A69" s="0" t="s">
        <v>98</v>
      </c>
      <c r="B69" s="1" t="s">
        <v>124</v>
      </c>
      <c r="C69" s="0" t="s">
        <v>231</v>
      </c>
    </row>
    <row r="70" customFormat="false" ht="13.8" hidden="false" customHeight="false" outlineLevel="0" collapsed="false">
      <c r="A70" s="0" t="s">
        <v>98</v>
      </c>
      <c r="B70" s="1" t="s">
        <v>126</v>
      </c>
      <c r="C70" s="0" t="n">
        <v>2</v>
      </c>
    </row>
    <row r="71" customFormat="false" ht="13.8" hidden="false" customHeight="false" outlineLevel="0" collapsed="false">
      <c r="A71" s="0" t="s">
        <v>98</v>
      </c>
      <c r="B71" s="1" t="s">
        <v>127</v>
      </c>
      <c r="C71" s="0" t="n">
        <v>0</v>
      </c>
    </row>
    <row r="72" customFormat="false" ht="13.8" hidden="false" customHeight="false" outlineLevel="0" collapsed="false">
      <c r="A72" s="0" t="s">
        <v>98</v>
      </c>
      <c r="B72" s="1" t="s">
        <v>128</v>
      </c>
      <c r="C72" s="0" t="n">
        <v>2</v>
      </c>
    </row>
    <row r="73" customFormat="false" ht="13.8" hidden="false" customHeight="false" outlineLevel="0" collapsed="false">
      <c r="B73" s="1"/>
    </row>
    <row r="74" customFormat="false" ht="13.8" hidden="false" customHeight="false" outlineLevel="0" collapsed="false">
      <c r="A74" s="0" t="s">
        <v>99</v>
      </c>
      <c r="B74" s="1" t="s">
        <v>124</v>
      </c>
      <c r="C74" s="0" t="s">
        <v>231</v>
      </c>
    </row>
    <row r="75" customFormat="false" ht="13.8" hidden="false" customHeight="false" outlineLevel="0" collapsed="false">
      <c r="A75" s="0" t="s">
        <v>99</v>
      </c>
      <c r="B75" s="1" t="s">
        <v>126</v>
      </c>
      <c r="C75" s="0" t="n">
        <v>2</v>
      </c>
    </row>
    <row r="76" customFormat="false" ht="13.8" hidden="false" customHeight="false" outlineLevel="0" collapsed="false">
      <c r="A76" s="0" t="s">
        <v>99</v>
      </c>
      <c r="B76" s="1" t="s">
        <v>127</v>
      </c>
      <c r="C76" s="0" t="n">
        <v>0</v>
      </c>
    </row>
    <row r="77" customFormat="false" ht="13.8" hidden="false" customHeight="false" outlineLevel="0" collapsed="false">
      <c r="A77" s="0" t="s">
        <v>99</v>
      </c>
      <c r="B77" s="1" t="s">
        <v>128</v>
      </c>
      <c r="C77" s="0" t="n">
        <v>2</v>
      </c>
    </row>
    <row r="78" customFormat="false" ht="13.8" hidden="false" customHeight="false" outlineLevel="0" collapsed="false">
      <c r="B78" s="1"/>
    </row>
    <row r="79" customFormat="false" ht="13.8" hidden="false" customHeight="false" outlineLevel="0" collapsed="false">
      <c r="B79" s="8" t="s">
        <v>126</v>
      </c>
      <c r="C79" s="9" t="n">
        <f aca="false">SUM(C5,C10,C20,C25,C30,C35,C40,C45,C50,C55,C60,C65,C70,C75,C15)</f>
        <v>41</v>
      </c>
      <c r="E79" s="7" t="s">
        <v>68</v>
      </c>
      <c r="F79" s="7"/>
    </row>
    <row r="80" customFormat="false" ht="13.8" hidden="false" customHeight="false" outlineLevel="0" collapsed="false">
      <c r="B80" s="8" t="s">
        <v>142</v>
      </c>
      <c r="C80" s="9" t="n">
        <f aca="false">SUM(C76,C66,C61,C51,C41,C31,C21,C11,C6,C16)</f>
        <v>2</v>
      </c>
      <c r="E80" s="12" t="s">
        <v>71</v>
      </c>
      <c r="F80" s="12"/>
    </row>
    <row r="81" customFormat="false" ht="13.8" hidden="false" customHeight="false" outlineLevel="0" collapsed="false">
      <c r="B81" s="8" t="s">
        <v>143</v>
      </c>
      <c r="C81" s="9" t="n">
        <f aca="false">C79-C80</f>
        <v>39</v>
      </c>
      <c r="E81" s="0" t="s">
        <v>75</v>
      </c>
      <c r="F81" s="0" t="s">
        <v>76</v>
      </c>
    </row>
    <row r="82" customFormat="false" ht="13.8" hidden="false" customHeight="false" outlineLevel="0" collapsed="false">
      <c r="B82" s="8" t="s">
        <v>144</v>
      </c>
      <c r="C82" s="14" t="n">
        <f aca="false">C81/C79*100</f>
        <v>95.1219512195122</v>
      </c>
      <c r="E82" s="0" t="n">
        <v>14</v>
      </c>
      <c r="F82" s="0" t="n">
        <v>1</v>
      </c>
    </row>
  </sheetData>
  <mergeCells count="1">
    <mergeCell ref="E80:F8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5"/>
  <sheetViews>
    <sheetView showFormulas="false" showGridLines="true" showRowColHeaders="true" showZeros="true" rightToLeft="false" tabSelected="false" showOutlineSymbols="true" defaultGridColor="true" view="normal" topLeftCell="D1" colorId="64" zoomScale="91" zoomScaleNormal="91" zoomScalePageLayoutView="100" workbookViewId="0">
      <selection pane="topLeft" activeCell="I6" activeCellId="0" sqref="I6"/>
    </sheetView>
  </sheetViews>
  <sheetFormatPr defaultColWidth="10.5859375" defaultRowHeight="14.25" zeroHeight="false" outlineLevelRow="0" outlineLevelCol="0"/>
  <cols>
    <col collapsed="false" customWidth="true" hidden="false" outlineLevel="0" max="1" min="1" style="0" width="17.67"/>
    <col collapsed="false" customWidth="true" hidden="false" outlineLevel="0" max="3" min="2" style="0" width="80"/>
    <col collapsed="false" customWidth="true" hidden="false" outlineLevel="0" max="4" min="4" style="0" width="79.89"/>
    <col collapsed="false" customWidth="true" hidden="false" outlineLevel="0" max="10" min="5" style="0" width="31.85"/>
  </cols>
  <sheetData>
    <row r="1" customFormat="false" ht="14.25" hidden="false" customHeight="false" outlineLevel="0" collapsed="false">
      <c r="A1" s="1" t="s">
        <v>237</v>
      </c>
    </row>
    <row r="2" customFormat="false" ht="14.25" hidden="false" customHeight="false" outlineLevel="0" collapsed="false">
      <c r="A2" s="1" t="s">
        <v>238</v>
      </c>
      <c r="B2" s="0" t="s">
        <v>239</v>
      </c>
    </row>
    <row r="4" customFormat="false" ht="13.8" hidden="false" customHeight="false" outlineLevel="0" collapsed="false">
      <c r="E4" s="2" t="s">
        <v>3</v>
      </c>
      <c r="F4" s="2"/>
      <c r="G4" s="2"/>
      <c r="H4" s="2" t="s">
        <v>4</v>
      </c>
      <c r="I4" s="2"/>
      <c r="J4" s="2"/>
    </row>
    <row r="5" customFormat="false" ht="13.8" hidden="false" customHeight="false" outlineLevel="0" collapsed="false">
      <c r="A5" s="3" t="s">
        <v>5</v>
      </c>
      <c r="B5" s="3" t="s">
        <v>6</v>
      </c>
      <c r="C5" s="4" t="s">
        <v>7</v>
      </c>
      <c r="D5" s="4" t="s">
        <v>8</v>
      </c>
      <c r="E5" s="3" t="s">
        <v>9</v>
      </c>
      <c r="F5" s="4" t="s">
        <v>10</v>
      </c>
      <c r="G5" s="4" t="s">
        <v>11</v>
      </c>
      <c r="H5" s="3" t="s">
        <v>9</v>
      </c>
      <c r="I5" s="4" t="s">
        <v>10</v>
      </c>
      <c r="J5" s="4" t="s">
        <v>11</v>
      </c>
    </row>
    <row r="6" customFormat="false" ht="13.9" hidden="false" customHeight="true" outlineLevel="0" collapsed="false">
      <c r="A6" s="5" t="n">
        <v>1</v>
      </c>
      <c r="B6" s="0" t="s">
        <v>240</v>
      </c>
      <c r="C6" s="6" t="s">
        <v>241</v>
      </c>
      <c r="E6" s="0" t="n">
        <v>0.645</v>
      </c>
      <c r="F6" s="0" t="n">
        <v>0.8344</v>
      </c>
      <c r="G6" s="0" t="n">
        <v>0.8844</v>
      </c>
      <c r="H6" s="0" t="n">
        <v>0.8609</v>
      </c>
      <c r="I6" s="0" t="n">
        <v>0.8773</v>
      </c>
      <c r="J6" s="0" t="n">
        <v>0.8633</v>
      </c>
    </row>
    <row r="7" customFormat="false" ht="13.9" hidden="false" customHeight="true" outlineLevel="0" collapsed="false">
      <c r="A7" s="5" t="n">
        <v>2</v>
      </c>
      <c r="B7" s="0" t="s">
        <v>242</v>
      </c>
      <c r="C7" s="6" t="s">
        <v>243</v>
      </c>
      <c r="E7" s="0" t="n">
        <v>0.4508</v>
      </c>
      <c r="F7" s="0" t="n">
        <v>0.8357</v>
      </c>
      <c r="G7" s="0" t="n">
        <v>0.8956</v>
      </c>
      <c r="H7" s="0" t="n">
        <v>0.8572</v>
      </c>
      <c r="I7" s="0" t="n">
        <v>0.8739</v>
      </c>
      <c r="J7" s="0" t="n">
        <v>0.8856</v>
      </c>
    </row>
    <row r="8" customFormat="false" ht="13.9" hidden="false" customHeight="true" outlineLevel="0" collapsed="false">
      <c r="A8" s="5" t="n">
        <v>3</v>
      </c>
      <c r="B8" s="0" t="s">
        <v>244</v>
      </c>
      <c r="C8" s="6" t="s">
        <v>245</v>
      </c>
      <c r="E8" s="0" t="n">
        <v>0.5308</v>
      </c>
      <c r="F8" s="0" t="n">
        <v>0.7725</v>
      </c>
      <c r="G8" s="0" t="n">
        <v>0.8908</v>
      </c>
      <c r="H8" s="0" t="n">
        <v>0.8634</v>
      </c>
      <c r="I8" s="0" t="n">
        <v>0.8751</v>
      </c>
      <c r="J8" s="0" t="n">
        <v>0.8956</v>
      </c>
    </row>
    <row r="9" customFormat="false" ht="13.9" hidden="false" customHeight="true" outlineLevel="0" collapsed="false">
      <c r="A9" s="5" t="n">
        <v>4</v>
      </c>
      <c r="B9" s="0" t="s">
        <v>246</v>
      </c>
      <c r="C9" s="6" t="s">
        <v>247</v>
      </c>
      <c r="E9" s="0" t="n">
        <v>0.3017</v>
      </c>
      <c r="F9" s="0" t="n">
        <v>0.6607</v>
      </c>
      <c r="G9" s="0" t="n">
        <v>0.9171</v>
      </c>
      <c r="H9" s="0" t="n">
        <v>0.85</v>
      </c>
      <c r="I9" s="0" t="n">
        <v>0.8501</v>
      </c>
      <c r="J9" s="0" t="n">
        <v>0.8859</v>
      </c>
    </row>
    <row r="10" customFormat="false" ht="13.9" hidden="false" customHeight="true" outlineLevel="0" collapsed="false">
      <c r="A10" s="5" t="n">
        <v>5</v>
      </c>
      <c r="B10" s="0" t="s">
        <v>248</v>
      </c>
      <c r="C10" s="6" t="s">
        <v>249</v>
      </c>
      <c r="E10" s="0" t="n">
        <v>0.4163</v>
      </c>
      <c r="F10" s="0" t="n">
        <v>0.7907</v>
      </c>
      <c r="G10" s="0" t="n">
        <v>0.8662</v>
      </c>
      <c r="H10" s="0" t="n">
        <v>0.8522</v>
      </c>
      <c r="I10" s="0" t="n">
        <v>0.8671</v>
      </c>
      <c r="J10" s="0" t="n">
        <v>0.8927</v>
      </c>
    </row>
    <row r="11" customFormat="false" ht="13.9" hidden="false" customHeight="true" outlineLevel="0" collapsed="false">
      <c r="A11" s="5" t="n">
        <v>6</v>
      </c>
      <c r="B11" s="0" t="s">
        <v>250</v>
      </c>
      <c r="C11" s="6" t="s">
        <v>251</v>
      </c>
      <c r="E11" s="0" t="n">
        <v>0.4357</v>
      </c>
      <c r="F11" s="0" t="n">
        <v>0.7886</v>
      </c>
      <c r="G11" s="0" t="n">
        <v>0.8763</v>
      </c>
      <c r="H11" s="0" t="n">
        <v>0.8472</v>
      </c>
      <c r="I11" s="0" t="n">
        <v>0.8806</v>
      </c>
      <c r="J11" s="0" t="n">
        <v>0.9022</v>
      </c>
    </row>
    <row r="12" customFormat="false" ht="13.9" hidden="false" customHeight="true" outlineLevel="0" collapsed="false">
      <c r="A12" s="5" t="n">
        <v>7</v>
      </c>
      <c r="B12" s="0" t="s">
        <v>252</v>
      </c>
      <c r="C12" s="6" t="s">
        <v>253</v>
      </c>
      <c r="E12" s="0" t="n">
        <v>0.4556</v>
      </c>
      <c r="F12" s="0" t="n">
        <v>0.7672</v>
      </c>
      <c r="G12" s="0" t="n">
        <v>0.858</v>
      </c>
      <c r="H12" s="0" t="n">
        <v>0.8426</v>
      </c>
      <c r="I12" s="0" t="n">
        <v>0.8633</v>
      </c>
      <c r="J12" s="0" t="n">
        <v>0.8936</v>
      </c>
    </row>
    <row r="13" customFormat="false" ht="13.9" hidden="false" customHeight="true" outlineLevel="0" collapsed="false">
      <c r="A13" s="5" t="n">
        <v>8</v>
      </c>
      <c r="B13" s="0" t="s">
        <v>254</v>
      </c>
      <c r="C13" s="6" t="s">
        <v>255</v>
      </c>
      <c r="E13" s="0" t="n">
        <v>0.5256</v>
      </c>
      <c r="F13" s="0" t="n">
        <v>0.8294</v>
      </c>
      <c r="G13" s="0" t="n">
        <v>0.9088</v>
      </c>
      <c r="H13" s="0" t="n">
        <v>0.8319</v>
      </c>
      <c r="I13" s="0" t="n">
        <v>0.8811</v>
      </c>
      <c r="J13" s="0" t="n">
        <v>0.8836</v>
      </c>
    </row>
    <row r="14" customFormat="false" ht="13.9" hidden="false" customHeight="true" outlineLevel="0" collapsed="false">
      <c r="A14" s="5" t="n">
        <v>9</v>
      </c>
      <c r="B14" s="0" t="s">
        <v>256</v>
      </c>
      <c r="C14" s="6" t="s">
        <v>257</v>
      </c>
      <c r="E14" s="0" t="n">
        <v>0.5369</v>
      </c>
      <c r="F14" s="0" t="n">
        <v>0.8162</v>
      </c>
      <c r="G14" s="0" t="n">
        <v>0.901</v>
      </c>
      <c r="H14" s="0" t="n">
        <v>0.8426</v>
      </c>
      <c r="I14" s="0" t="n">
        <v>0.8651</v>
      </c>
      <c r="J14" s="0" t="n">
        <v>0.8899</v>
      </c>
    </row>
    <row r="15" customFormat="false" ht="13.9" hidden="false" customHeight="true" outlineLevel="0" collapsed="false">
      <c r="A15" s="5" t="n">
        <v>10</v>
      </c>
      <c r="B15" s="0" t="s">
        <v>258</v>
      </c>
      <c r="C15" s="6" t="s">
        <v>259</v>
      </c>
      <c r="E15" s="0" t="n">
        <v>0.5366</v>
      </c>
      <c r="F15" s="0" t="n">
        <v>0.8014</v>
      </c>
      <c r="G15" s="0" t="n">
        <v>0.8738</v>
      </c>
      <c r="H15" s="0" t="n">
        <v>0.8587</v>
      </c>
      <c r="I15" s="0" t="n">
        <v>0.867</v>
      </c>
      <c r="J15" s="0" t="n">
        <v>0.8876</v>
      </c>
    </row>
    <row r="16" customFormat="false" ht="13.9" hidden="false" customHeight="true" outlineLevel="0" collapsed="false">
      <c r="A16" s="5" t="n">
        <v>11</v>
      </c>
      <c r="B16" s="0" t="s">
        <v>260</v>
      </c>
      <c r="C16" s="6" t="s">
        <v>261</v>
      </c>
      <c r="E16" s="0" t="n">
        <v>0.3339</v>
      </c>
      <c r="F16" s="0" t="n">
        <v>0.8313</v>
      </c>
      <c r="G16" s="0" t="n">
        <v>0.8967</v>
      </c>
      <c r="H16" s="0" t="n">
        <v>0.8414</v>
      </c>
      <c r="I16" s="0" t="n">
        <v>0.8716</v>
      </c>
      <c r="J16" s="0" t="n">
        <v>0.8996</v>
      </c>
    </row>
    <row r="17" customFormat="false" ht="13.9" hidden="false" customHeight="true" outlineLevel="0" collapsed="false">
      <c r="A17" s="5" t="n">
        <v>12</v>
      </c>
      <c r="B17" s="0" t="s">
        <v>262</v>
      </c>
      <c r="C17" s="6" t="s">
        <v>263</v>
      </c>
      <c r="E17" s="0" t="n">
        <v>0.513</v>
      </c>
      <c r="F17" s="0" t="n">
        <v>0.8202</v>
      </c>
      <c r="G17" s="0" t="n">
        <v>0.9403</v>
      </c>
      <c r="H17" s="0" t="n">
        <v>0.8486</v>
      </c>
      <c r="I17" s="0" t="n">
        <v>0.8775</v>
      </c>
      <c r="J17" s="0" t="n">
        <v>0.9072</v>
      </c>
    </row>
    <row r="18" customFormat="false" ht="13.9" hidden="false" customHeight="true" outlineLevel="0" collapsed="false">
      <c r="A18" s="5" t="n">
        <v>13</v>
      </c>
      <c r="B18" s="0" t="s">
        <v>264</v>
      </c>
      <c r="C18" s="6" t="s">
        <v>265</v>
      </c>
      <c r="E18" s="0" t="n">
        <v>0.5475</v>
      </c>
      <c r="F18" s="0" t="n">
        <v>0.7717</v>
      </c>
      <c r="G18" s="0" t="n">
        <v>0.9444</v>
      </c>
      <c r="H18" s="0" t="n">
        <v>0.8404</v>
      </c>
      <c r="I18" s="0" t="n">
        <v>0.8622</v>
      </c>
      <c r="J18" s="0" t="n">
        <v>0.9228</v>
      </c>
    </row>
    <row r="19" customFormat="false" ht="13.9" hidden="false" customHeight="true" outlineLevel="0" collapsed="false">
      <c r="A19" s="5" t="n">
        <v>14</v>
      </c>
      <c r="B19" s="0" t="s">
        <v>266</v>
      </c>
      <c r="C19" s="6" t="s">
        <v>267</v>
      </c>
      <c r="E19" s="0" t="n">
        <v>0.3051</v>
      </c>
      <c r="F19" s="0" t="n">
        <v>0.7789</v>
      </c>
      <c r="G19" s="0" t="n">
        <v>0.8369</v>
      </c>
      <c r="H19" s="0" t="n">
        <v>0.8466</v>
      </c>
      <c r="I19" s="0" t="n">
        <v>0.8592</v>
      </c>
      <c r="J19" s="0" t="n">
        <v>0.8973</v>
      </c>
    </row>
    <row r="20" customFormat="false" ht="13.9" hidden="false" customHeight="true" outlineLevel="0" collapsed="false">
      <c r="A20" s="5" t="n">
        <v>15</v>
      </c>
      <c r="B20" s="0" t="s">
        <v>268</v>
      </c>
      <c r="C20" s="6" t="s">
        <v>269</v>
      </c>
      <c r="E20" s="0" t="n">
        <v>0.5804</v>
      </c>
      <c r="F20" s="0" t="n">
        <v>0.7299</v>
      </c>
      <c r="G20" s="0" t="n">
        <v>0.9092</v>
      </c>
      <c r="H20" s="0" t="n">
        <v>0.8624</v>
      </c>
      <c r="I20" s="0" t="n">
        <v>0.8584</v>
      </c>
      <c r="J20" s="0" t="n">
        <v>0.8895</v>
      </c>
    </row>
    <row r="21" customFormat="false" ht="13.8" hidden="false" customHeight="false" outlineLevel="0" collapsed="false"/>
    <row r="22" customFormat="false" ht="13.8" hidden="false" customHeight="false" outlineLevel="0" collapsed="false">
      <c r="C22" s="8" t="s">
        <v>192</v>
      </c>
      <c r="D22" s="8"/>
      <c r="E22" s="9" t="n">
        <f aca="false">AVERAGE(E6:E20)</f>
        <v>0.474326666666667</v>
      </c>
      <c r="F22" s="9" t="n">
        <f aca="false">AVERAGE(F6:F20)</f>
        <v>0.788586666666667</v>
      </c>
      <c r="G22" s="9" t="n">
        <f aca="false">AVERAGE(G6:G20)</f>
        <v>0.8933</v>
      </c>
      <c r="H22" s="9" t="n">
        <f aca="false">AVERAGE(H6:H20)</f>
        <v>0.84974</v>
      </c>
      <c r="I22" s="9" t="n">
        <f aca="false">AVERAGE(I6:I20)</f>
        <v>0.868633333333333</v>
      </c>
      <c r="J22" s="9" t="n">
        <f aca="false">AVERAGE(J6:J20)</f>
        <v>0.893093333333333</v>
      </c>
    </row>
    <row r="23" customFormat="false" ht="13.8" hidden="false" customHeight="false" outlineLevel="0" collapsed="false">
      <c r="C23" s="8" t="s">
        <v>193</v>
      </c>
      <c r="D23" s="8"/>
      <c r="E23" s="9" t="n">
        <f aca="false">_xlfn.STDEV.S(E6:E20)</f>
        <v>0.101686868562736</v>
      </c>
      <c r="F23" s="9" t="n">
        <f aca="false">_xlfn.STDEV.S(F6:F20)</f>
        <v>0.0467772207484838</v>
      </c>
      <c r="G23" s="9" t="n">
        <f aca="false">_xlfn.STDEV.S(G6:G20)</f>
        <v>0.0291204640857839</v>
      </c>
      <c r="H23" s="9" t="n">
        <f aca="false">_xlfn.STDEV.S(H6:H20)</f>
        <v>0.00928937949642339</v>
      </c>
      <c r="I23" s="9" t="n">
        <f aca="false">_xlfn.STDEV.S(I6:I20)</f>
        <v>0.00908386848576457</v>
      </c>
      <c r="J23" s="9" t="n">
        <f aca="false">_xlfn.STDEV.S(J6:J20)</f>
        <v>0.0130112295820993</v>
      </c>
    </row>
    <row r="24" customFormat="false" ht="13.8" hidden="false" customHeight="false" outlineLevel="0" collapsed="false">
      <c r="C24" s="8" t="s">
        <v>194</v>
      </c>
      <c r="D24" s="8"/>
      <c r="E24" s="9" t="n">
        <f aca="false">MEDIAN(E6:E20)</f>
        <v>0.513</v>
      </c>
      <c r="F24" s="9" t="n">
        <f aca="false">MEDIAN(F6:F20)</f>
        <v>0.7907</v>
      </c>
      <c r="G24" s="9" t="n">
        <f aca="false">MEDIAN(G6:G20)</f>
        <v>0.8956</v>
      </c>
      <c r="H24" s="9" t="n">
        <f aca="false">MEDIAN(H6:H20)</f>
        <v>0.8486</v>
      </c>
      <c r="I24" s="9" t="n">
        <f aca="false">MEDIAN(I6:I20)</f>
        <v>0.8671</v>
      </c>
      <c r="J24" s="9" t="n">
        <f aca="false">MEDIAN(J6:J20)</f>
        <v>0.8927</v>
      </c>
    </row>
    <row r="25" customFormat="false" ht="13.8" hidden="false" customHeight="false" outlineLevel="0" collapsed="false">
      <c r="C25" s="8" t="s">
        <v>195</v>
      </c>
      <c r="D25" s="8"/>
      <c r="E25" s="9" t="n">
        <f aca="false">E23/E22</f>
        <v>0.214381513224507</v>
      </c>
      <c r="F25" s="9" t="n">
        <f aca="false">F23/F22</f>
        <v>0.0593177931174132</v>
      </c>
      <c r="G25" s="9" t="n">
        <f aca="false">G23/G22</f>
        <v>0.0325987507956833</v>
      </c>
      <c r="H25" s="9" t="n">
        <f aca="false">H23/H22</f>
        <v>0.0109320256742338</v>
      </c>
      <c r="I25" s="9" t="n">
        <f aca="false">I23/I22</f>
        <v>0.0104576558798472</v>
      </c>
      <c r="J25" s="9" t="n">
        <f aca="false">J23/J22</f>
        <v>0.0145687232190356</v>
      </c>
    </row>
  </sheetData>
  <mergeCells count="2">
    <mergeCell ref="E4:G4"/>
    <mergeCell ref="H4:J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C1" colorId="64" zoomScale="91" zoomScaleNormal="91" zoomScalePageLayoutView="100" workbookViewId="0">
      <selection pane="topLeft" activeCell="L7" activeCellId="0" sqref="L7"/>
    </sheetView>
  </sheetViews>
  <sheetFormatPr defaultColWidth="10.5859375" defaultRowHeight="13.8" zeroHeight="false" outlineLevelRow="0" outlineLevelCol="0"/>
  <cols>
    <col collapsed="false" customWidth="true" hidden="false" outlineLevel="0" max="1" min="1" style="0" width="20.89"/>
    <col collapsed="false" customWidth="true" hidden="false" outlineLevel="0" max="2" min="2" style="0" width="179.13"/>
    <col collapsed="false" customWidth="true" hidden="false" outlineLevel="0" max="6" min="3" style="0" width="21.77"/>
    <col collapsed="false" customWidth="true" hidden="false" outlineLevel="0" max="12" min="9" style="0" width="27.02"/>
    <col collapsed="false" customWidth="true" hidden="false" outlineLevel="0" max="1024" min="1024" style="0" width="9.14"/>
  </cols>
  <sheetData>
    <row r="1" customFormat="false" ht="13.8" hidden="false" customHeight="false" outlineLevel="0" collapsed="false">
      <c r="A1" s="10" t="s">
        <v>57</v>
      </c>
      <c r="B1" s="10" t="s">
        <v>58</v>
      </c>
      <c r="C1" s="10" t="s">
        <v>60</v>
      </c>
    </row>
    <row r="2" customFormat="false" ht="13.8" hidden="false" customHeight="false" outlineLevel="0" collapsed="false">
      <c r="A2" s="1" t="s">
        <v>270</v>
      </c>
    </row>
    <row r="4" customFormat="false" ht="13.8" hidden="false" customHeight="false" outlineLevel="0" collapsed="false">
      <c r="A4" s="11" t="s">
        <v>5</v>
      </c>
      <c r="B4" s="11" t="s">
        <v>63</v>
      </c>
      <c r="C4" s="11" t="s">
        <v>198</v>
      </c>
      <c r="D4" s="11" t="s">
        <v>65</v>
      </c>
      <c r="E4" s="11" t="s">
        <v>66</v>
      </c>
      <c r="F4" s="11" t="s">
        <v>67</v>
      </c>
      <c r="I4" s="7" t="s">
        <v>68</v>
      </c>
      <c r="J4" s="7"/>
    </row>
    <row r="5" customFormat="false" ht="13.8" hidden="false" customHeight="false" outlineLevel="0" collapsed="false">
      <c r="A5" s="5" t="s">
        <v>69</v>
      </c>
      <c r="B5" s="0" t="s">
        <v>271</v>
      </c>
      <c r="C5" s="5" t="n">
        <v>6</v>
      </c>
      <c r="D5" s="5" t="n">
        <v>0</v>
      </c>
      <c r="E5" s="5" t="n">
        <v>6</v>
      </c>
      <c r="F5" s="5" t="n">
        <v>6</v>
      </c>
      <c r="I5" s="12" t="s">
        <v>71</v>
      </c>
      <c r="J5" s="12"/>
      <c r="K5" s="12" t="s">
        <v>72</v>
      </c>
      <c r="L5" s="12"/>
    </row>
    <row r="6" customFormat="false" ht="13.8" hidden="false" customHeight="false" outlineLevel="0" collapsed="false">
      <c r="A6" s="5" t="s">
        <v>73</v>
      </c>
      <c r="B6" s="0" t="s">
        <v>272</v>
      </c>
      <c r="C6" s="5" t="n">
        <v>6</v>
      </c>
      <c r="D6" s="5" t="n">
        <v>0</v>
      </c>
      <c r="E6" s="5" t="n">
        <v>6</v>
      </c>
      <c r="F6" s="5" t="n">
        <v>6</v>
      </c>
      <c r="I6" s="0" t="s">
        <v>75</v>
      </c>
      <c r="J6" s="0" t="s">
        <v>76</v>
      </c>
      <c r="K6" s="0" t="s">
        <v>75</v>
      </c>
      <c r="L6" s="0" t="s">
        <v>76</v>
      </c>
    </row>
    <row r="7" customFormat="false" ht="13.8" hidden="false" customHeight="false" outlineLevel="0" collapsed="false">
      <c r="A7" s="5" t="s">
        <v>77</v>
      </c>
      <c r="B7" s="0" t="s">
        <v>273</v>
      </c>
      <c r="C7" s="5" t="n">
        <v>3</v>
      </c>
      <c r="D7" s="5" t="n">
        <v>0</v>
      </c>
      <c r="E7" s="5" t="n">
        <v>3</v>
      </c>
      <c r="F7" s="5" t="n">
        <v>3</v>
      </c>
      <c r="I7" s="0" t="n">
        <v>12</v>
      </c>
      <c r="J7" s="0" t="n">
        <v>3</v>
      </c>
      <c r="K7" s="0" t="n">
        <v>0</v>
      </c>
      <c r="L7" s="0" t="n">
        <v>15</v>
      </c>
    </row>
    <row r="8" customFormat="false" ht="13.8" hidden="false" customHeight="false" outlineLevel="0" collapsed="false">
      <c r="A8" s="5" t="s">
        <v>79</v>
      </c>
      <c r="B8" s="0" t="s">
        <v>274</v>
      </c>
      <c r="C8" s="5" t="n">
        <v>4</v>
      </c>
      <c r="D8" s="5" t="n">
        <v>1</v>
      </c>
      <c r="E8" s="5" t="n">
        <v>3</v>
      </c>
      <c r="F8" s="5" t="n">
        <v>6</v>
      </c>
    </row>
    <row r="9" customFormat="false" ht="13.8" hidden="false" customHeight="false" outlineLevel="0" collapsed="false">
      <c r="A9" s="5" t="s">
        <v>81</v>
      </c>
      <c r="B9" s="0" t="s">
        <v>275</v>
      </c>
      <c r="C9" s="5" t="n">
        <v>6</v>
      </c>
      <c r="D9" s="5" t="n">
        <v>0</v>
      </c>
      <c r="E9" s="5" t="n">
        <v>6</v>
      </c>
      <c r="F9" s="5" t="n">
        <v>6</v>
      </c>
    </row>
    <row r="10" customFormat="false" ht="13.8" hidden="false" customHeight="false" outlineLevel="0" collapsed="false">
      <c r="A10" s="5" t="s">
        <v>83</v>
      </c>
      <c r="B10" s="0" t="s">
        <v>276</v>
      </c>
      <c r="C10" s="5" t="n">
        <v>6</v>
      </c>
      <c r="D10" s="5" t="n">
        <v>0</v>
      </c>
      <c r="E10" s="5" t="n">
        <v>6</v>
      </c>
      <c r="F10" s="5" t="n">
        <v>6</v>
      </c>
    </row>
    <row r="11" customFormat="false" ht="13.8" hidden="false" customHeight="false" outlineLevel="0" collapsed="false">
      <c r="A11" s="5" t="s">
        <v>85</v>
      </c>
      <c r="B11" s="0" t="s">
        <v>277</v>
      </c>
      <c r="C11" s="5" t="n">
        <v>6</v>
      </c>
      <c r="D11" s="5" t="n">
        <v>0</v>
      </c>
      <c r="E11" s="5" t="n">
        <v>6</v>
      </c>
      <c r="F11" s="5" t="n">
        <v>6</v>
      </c>
    </row>
    <row r="12" customFormat="false" ht="13.8" hidden="false" customHeight="false" outlineLevel="0" collapsed="false">
      <c r="A12" s="5" t="s">
        <v>87</v>
      </c>
      <c r="B12" s="0" t="s">
        <v>278</v>
      </c>
      <c r="C12" s="5" t="n">
        <v>9</v>
      </c>
      <c r="D12" s="5" t="n">
        <v>3</v>
      </c>
      <c r="E12" s="5" t="n">
        <v>6</v>
      </c>
      <c r="F12" s="5" t="n">
        <v>6</v>
      </c>
    </row>
    <row r="13" customFormat="false" ht="13.8" hidden="false" customHeight="false" outlineLevel="0" collapsed="false">
      <c r="A13" s="5" t="s">
        <v>89</v>
      </c>
      <c r="B13" s="0" t="s">
        <v>279</v>
      </c>
      <c r="C13" s="5" t="n">
        <v>6</v>
      </c>
      <c r="D13" s="5" t="n">
        <v>0</v>
      </c>
      <c r="E13" s="5" t="n">
        <v>6</v>
      </c>
      <c r="F13" s="5" t="n">
        <v>6</v>
      </c>
    </row>
    <row r="14" customFormat="false" ht="13.8" hidden="false" customHeight="false" outlineLevel="0" collapsed="false">
      <c r="A14" s="5" t="s">
        <v>91</v>
      </c>
      <c r="B14" s="0" t="s">
        <v>280</v>
      </c>
      <c r="C14" s="5" t="n">
        <v>6</v>
      </c>
      <c r="D14" s="5" t="n">
        <v>0</v>
      </c>
      <c r="E14" s="5" t="n">
        <v>6</v>
      </c>
      <c r="F14" s="5" t="n">
        <v>6</v>
      </c>
    </row>
    <row r="15" customFormat="false" ht="13.8" hidden="false" customHeight="false" outlineLevel="0" collapsed="false">
      <c r="A15" s="5" t="s">
        <v>93</v>
      </c>
      <c r="B15" s="0" t="s">
        <v>281</v>
      </c>
      <c r="C15" s="5" t="n">
        <v>3</v>
      </c>
      <c r="D15" s="5" t="n">
        <v>0</v>
      </c>
      <c r="E15" s="5" t="n">
        <v>3</v>
      </c>
      <c r="F15" s="5" t="n">
        <v>3</v>
      </c>
    </row>
    <row r="16" customFormat="false" ht="13.8" hidden="false" customHeight="false" outlineLevel="0" collapsed="false">
      <c r="A16" s="5" t="s">
        <v>95</v>
      </c>
      <c r="B16" s="0" t="s">
        <v>282</v>
      </c>
      <c r="C16" s="5" t="n">
        <v>9</v>
      </c>
      <c r="D16" s="5" t="n">
        <v>3</v>
      </c>
      <c r="E16" s="5" t="n">
        <v>6</v>
      </c>
      <c r="F16" s="5" t="n">
        <v>6</v>
      </c>
    </row>
    <row r="17" customFormat="false" ht="13.8" hidden="false" customHeight="false" outlineLevel="0" collapsed="false">
      <c r="A17" s="5" t="s">
        <v>96</v>
      </c>
      <c r="B17" s="0" t="s">
        <v>280</v>
      </c>
      <c r="C17" s="5" t="n">
        <v>6</v>
      </c>
      <c r="D17" s="5" t="n">
        <v>0</v>
      </c>
      <c r="E17" s="5" t="n">
        <v>6</v>
      </c>
      <c r="F17" s="5" t="n">
        <v>6</v>
      </c>
    </row>
    <row r="18" customFormat="false" ht="13.8" hidden="false" customHeight="false" outlineLevel="0" collapsed="false">
      <c r="A18" s="5" t="s">
        <v>98</v>
      </c>
      <c r="B18" s="0" t="s">
        <v>280</v>
      </c>
      <c r="C18" s="5" t="n">
        <v>6</v>
      </c>
      <c r="D18" s="5" t="n">
        <v>0</v>
      </c>
      <c r="E18" s="5" t="n">
        <v>6</v>
      </c>
      <c r="F18" s="5" t="n">
        <v>6</v>
      </c>
    </row>
    <row r="19" customFormat="false" ht="13.8" hidden="false" customHeight="false" outlineLevel="0" collapsed="false">
      <c r="A19" s="5" t="s">
        <v>99</v>
      </c>
      <c r="B19" s="0" t="s">
        <v>283</v>
      </c>
      <c r="C19" s="5" t="n">
        <v>4</v>
      </c>
      <c r="D19" s="5" t="n">
        <v>0</v>
      </c>
      <c r="E19" s="5" t="n">
        <v>4</v>
      </c>
      <c r="F19" s="5" t="n">
        <v>6</v>
      </c>
    </row>
    <row r="21" customFormat="false" ht="13.8" hidden="false" customHeight="false" outlineLevel="0" collapsed="false">
      <c r="B21" s="8" t="s">
        <v>101</v>
      </c>
      <c r="C21" s="13" t="n">
        <f aca="false">SUM(C5:C19)</f>
        <v>86</v>
      </c>
      <c r="D21" s="13" t="n">
        <f aca="false">SUM(D5:D19)</f>
        <v>7</v>
      </c>
      <c r="E21" s="13" t="n">
        <f aca="false">SUM(E5:E19)</f>
        <v>79</v>
      </c>
      <c r="F21" s="13" t="n">
        <f aca="false">SUM(F5:F19)</f>
        <v>84</v>
      </c>
    </row>
    <row r="22" customFormat="false" ht="13.8" hidden="false" customHeight="false" outlineLevel="0" collapsed="false">
      <c r="B22" s="8" t="s">
        <v>102</v>
      </c>
      <c r="C22" s="14"/>
      <c r="D22" s="14" t="n">
        <f aca="false">D21/C21*100</f>
        <v>8.13953488372093</v>
      </c>
      <c r="E22" s="14" t="n">
        <f aca="false">E21/C21*100</f>
        <v>91.8604651162791</v>
      </c>
      <c r="F22" s="14"/>
    </row>
    <row r="29" customFormat="false" ht="13.8" hidden="false" customHeight="false" outlineLevel="0" collapsed="false">
      <c r="A29" s="11" t="s">
        <v>5</v>
      </c>
      <c r="B29" s="11" t="s">
        <v>103</v>
      </c>
      <c r="C29" s="11" t="s">
        <v>198</v>
      </c>
      <c r="D29" s="11" t="s">
        <v>65</v>
      </c>
      <c r="E29" s="11" t="s">
        <v>66</v>
      </c>
      <c r="F29" s="11" t="s">
        <v>67</v>
      </c>
    </row>
    <row r="30" customFormat="false" ht="13.8" hidden="false" customHeight="false" outlineLevel="0" collapsed="false">
      <c r="A30" s="5" t="s">
        <v>69</v>
      </c>
      <c r="B30" s="0" t="s">
        <v>284</v>
      </c>
      <c r="C30" s="5" t="n">
        <v>4</v>
      </c>
      <c r="D30" s="5" t="n">
        <v>1</v>
      </c>
      <c r="E30" s="5" t="n">
        <v>3</v>
      </c>
      <c r="F30" s="5" t="n">
        <v>6</v>
      </c>
    </row>
    <row r="31" customFormat="false" ht="13.8" hidden="false" customHeight="false" outlineLevel="0" collapsed="false">
      <c r="A31" s="5" t="s">
        <v>73</v>
      </c>
      <c r="B31" s="0" t="s">
        <v>285</v>
      </c>
      <c r="C31" s="5" t="n">
        <v>5</v>
      </c>
      <c r="D31" s="5" t="n">
        <v>1</v>
      </c>
      <c r="E31" s="5" t="n">
        <v>4</v>
      </c>
      <c r="F31" s="5" t="n">
        <v>7</v>
      </c>
    </row>
    <row r="32" customFormat="false" ht="13.8" hidden="false" customHeight="false" outlineLevel="0" collapsed="false">
      <c r="A32" s="5" t="s">
        <v>77</v>
      </c>
      <c r="B32" s="0" t="s">
        <v>286</v>
      </c>
      <c r="C32" s="5" t="n">
        <v>8</v>
      </c>
      <c r="D32" s="5" t="n">
        <v>8</v>
      </c>
      <c r="E32" s="5" t="n">
        <v>0</v>
      </c>
      <c r="F32" s="5" t="n">
        <v>6</v>
      </c>
    </row>
    <row r="33" customFormat="false" ht="13.8" hidden="false" customHeight="false" outlineLevel="0" collapsed="false">
      <c r="A33" s="5" t="s">
        <v>79</v>
      </c>
      <c r="B33" s="0" t="s">
        <v>287</v>
      </c>
      <c r="C33" s="5" t="n">
        <v>5</v>
      </c>
      <c r="D33" s="5" t="n">
        <v>2</v>
      </c>
      <c r="E33" s="5" t="n">
        <v>3</v>
      </c>
      <c r="F33" s="5" t="n">
        <v>6</v>
      </c>
    </row>
    <row r="34" customFormat="false" ht="13.8" hidden="false" customHeight="false" outlineLevel="0" collapsed="false">
      <c r="A34" s="5" t="s">
        <v>81</v>
      </c>
      <c r="B34" s="0" t="s">
        <v>288</v>
      </c>
      <c r="C34" s="5" t="n">
        <v>3</v>
      </c>
      <c r="D34" s="5" t="n">
        <v>1</v>
      </c>
      <c r="E34" s="5" t="n">
        <v>2</v>
      </c>
      <c r="F34" s="5" t="n">
        <v>4</v>
      </c>
    </row>
    <row r="35" customFormat="false" ht="13.8" hidden="false" customHeight="false" outlineLevel="0" collapsed="false">
      <c r="A35" s="5" t="s">
        <v>83</v>
      </c>
      <c r="B35" s="0" t="s">
        <v>289</v>
      </c>
      <c r="C35" s="5" t="n">
        <v>4</v>
      </c>
      <c r="D35" s="5" t="n">
        <v>1</v>
      </c>
      <c r="E35" s="5" t="n">
        <v>3</v>
      </c>
      <c r="F35" s="5" t="n">
        <v>3</v>
      </c>
    </row>
    <row r="36" customFormat="false" ht="13.8" hidden="false" customHeight="false" outlineLevel="0" collapsed="false">
      <c r="A36" s="5" t="s">
        <v>85</v>
      </c>
      <c r="B36" s="0" t="s">
        <v>290</v>
      </c>
      <c r="C36" s="5" t="n">
        <v>5</v>
      </c>
      <c r="D36" s="5" t="n">
        <v>2</v>
      </c>
      <c r="E36" s="5" t="n">
        <v>3</v>
      </c>
      <c r="F36" s="5" t="n">
        <v>6</v>
      </c>
    </row>
    <row r="37" customFormat="false" ht="13.8" hidden="false" customHeight="false" outlineLevel="0" collapsed="false">
      <c r="A37" s="5" t="s">
        <v>87</v>
      </c>
      <c r="B37" s="0" t="s">
        <v>291</v>
      </c>
      <c r="C37" s="5" t="n">
        <v>4</v>
      </c>
      <c r="D37" s="5" t="n">
        <v>1</v>
      </c>
      <c r="E37" s="5" t="n">
        <v>3</v>
      </c>
      <c r="F37" s="5" t="n">
        <v>6</v>
      </c>
    </row>
    <row r="38" customFormat="false" ht="13.8" hidden="false" customHeight="false" outlineLevel="0" collapsed="false">
      <c r="A38" s="5" t="s">
        <v>89</v>
      </c>
      <c r="B38" s="0" t="s">
        <v>292</v>
      </c>
      <c r="C38" s="5" t="n">
        <v>8</v>
      </c>
      <c r="D38" s="5" t="n">
        <v>3</v>
      </c>
      <c r="E38" s="5" t="n">
        <v>5</v>
      </c>
      <c r="F38" s="5" t="n">
        <v>6</v>
      </c>
    </row>
    <row r="39" customFormat="false" ht="13.8" hidden="false" customHeight="false" outlineLevel="0" collapsed="false">
      <c r="A39" s="5" t="s">
        <v>91</v>
      </c>
      <c r="B39" s="0" t="s">
        <v>293</v>
      </c>
      <c r="C39" s="5" t="n">
        <v>5</v>
      </c>
      <c r="D39" s="5" t="n">
        <v>2</v>
      </c>
      <c r="E39" s="5" t="n">
        <v>3</v>
      </c>
      <c r="F39" s="5" t="n">
        <v>6</v>
      </c>
    </row>
    <row r="40" customFormat="false" ht="13.8" hidden="false" customHeight="false" outlineLevel="0" collapsed="false">
      <c r="A40" s="5" t="s">
        <v>93</v>
      </c>
      <c r="B40" s="0" t="s">
        <v>294</v>
      </c>
      <c r="C40" s="5" t="n">
        <v>7</v>
      </c>
      <c r="D40" s="5" t="n">
        <v>4</v>
      </c>
      <c r="E40" s="5" t="n">
        <v>3</v>
      </c>
      <c r="F40" s="5" t="n">
        <v>6</v>
      </c>
    </row>
    <row r="41" customFormat="false" ht="13.8" hidden="false" customHeight="false" outlineLevel="0" collapsed="false">
      <c r="A41" s="5" t="s">
        <v>95</v>
      </c>
      <c r="B41" s="0" t="s">
        <v>295</v>
      </c>
      <c r="C41" s="5" t="n">
        <v>6</v>
      </c>
      <c r="D41" s="5" t="n">
        <v>6</v>
      </c>
      <c r="E41" s="5" t="n">
        <v>0</v>
      </c>
      <c r="F41" s="5" t="n">
        <v>6</v>
      </c>
    </row>
    <row r="42" customFormat="false" ht="13.8" hidden="false" customHeight="false" outlineLevel="0" collapsed="false">
      <c r="A42" s="5" t="s">
        <v>96</v>
      </c>
      <c r="B42" s="0" t="s">
        <v>296</v>
      </c>
      <c r="C42" s="5" t="n">
        <v>4</v>
      </c>
      <c r="D42" s="5" t="n">
        <v>1</v>
      </c>
      <c r="E42" s="5" t="n">
        <v>3</v>
      </c>
      <c r="F42" s="5" t="n">
        <v>6</v>
      </c>
    </row>
    <row r="43" customFormat="false" ht="13.8" hidden="false" customHeight="false" outlineLevel="0" collapsed="false">
      <c r="A43" s="5" t="s">
        <v>98</v>
      </c>
      <c r="B43" s="0" t="s">
        <v>297</v>
      </c>
      <c r="C43" s="5" t="n">
        <v>5</v>
      </c>
      <c r="D43" s="5" t="n">
        <v>2</v>
      </c>
      <c r="E43" s="5" t="n">
        <v>3</v>
      </c>
      <c r="F43" s="5" t="n">
        <v>6</v>
      </c>
    </row>
    <row r="44" customFormat="false" ht="13.8" hidden="false" customHeight="false" outlineLevel="0" collapsed="false">
      <c r="A44" s="5" t="s">
        <v>99</v>
      </c>
      <c r="B44" s="0" t="s">
        <v>298</v>
      </c>
      <c r="C44" s="5" t="n">
        <v>5</v>
      </c>
      <c r="D44" s="5" t="n">
        <v>5</v>
      </c>
      <c r="E44" s="5" t="n">
        <v>0</v>
      </c>
      <c r="F44" s="5" t="n">
        <v>6</v>
      </c>
    </row>
    <row r="46" customFormat="false" ht="13.8" hidden="false" customHeight="false" outlineLevel="0" collapsed="false">
      <c r="B46" s="8" t="s">
        <v>101</v>
      </c>
      <c r="C46" s="13" t="n">
        <f aca="false">SUM(C30:C44)</f>
        <v>78</v>
      </c>
      <c r="D46" s="13" t="n">
        <f aca="false">SUM(D30:D44)</f>
        <v>40</v>
      </c>
      <c r="E46" s="13" t="n">
        <f aca="false">SUM(E30:E44)</f>
        <v>38</v>
      </c>
      <c r="F46" s="13" t="n">
        <f aca="false">SUM(F30:F44)</f>
        <v>86</v>
      </c>
    </row>
    <row r="47" customFormat="false" ht="13.8" hidden="false" customHeight="false" outlineLevel="0" collapsed="false">
      <c r="B47" s="8" t="s">
        <v>102</v>
      </c>
      <c r="C47" s="14"/>
      <c r="D47" s="14" t="n">
        <f aca="false">D46/C46*100</f>
        <v>51.2820512820513</v>
      </c>
      <c r="E47" s="14" t="n">
        <f aca="false">E46/F46*100</f>
        <v>44.1860465116279</v>
      </c>
      <c r="F47" s="14"/>
    </row>
  </sheetData>
  <mergeCells count="2">
    <mergeCell ref="I5:J5"/>
    <mergeCell ref="K5:L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82"/>
  <sheetViews>
    <sheetView showFormulas="false" showGridLines="true" showRowColHeaders="true" showZeros="true" rightToLeft="false" tabSelected="true" showOutlineSymbols="true" defaultGridColor="true" view="normal" topLeftCell="A28" colorId="64" zoomScale="91" zoomScaleNormal="91" zoomScalePageLayoutView="100" workbookViewId="0">
      <selection pane="topLeft" activeCell="C41" activeCellId="0" sqref="C41"/>
    </sheetView>
  </sheetViews>
  <sheetFormatPr defaultColWidth="10.5859375" defaultRowHeight="13.8" zeroHeight="false" outlineLevelRow="0" outlineLevelCol="0"/>
  <cols>
    <col collapsed="false" customWidth="true" hidden="false" outlineLevel="0" max="1" min="1" style="0" width="23.33"/>
    <col collapsed="false" customWidth="true" hidden="false" outlineLevel="0" max="2" min="2" style="0" width="36.11"/>
    <col collapsed="false" customWidth="true" hidden="false" outlineLevel="0" max="3" min="3" style="0" width="80.89"/>
    <col collapsed="false" customWidth="true" hidden="false" outlineLevel="0" max="4" min="4" style="0" width="38.88"/>
    <col collapsed="false" customWidth="true" hidden="false" outlineLevel="0" max="6" min="5" style="0" width="27.02"/>
  </cols>
  <sheetData>
    <row r="1" customFormat="false" ht="13.8" hidden="false" customHeight="false" outlineLevel="0" collapsed="false">
      <c r="A1" s="10" t="s">
        <v>57</v>
      </c>
      <c r="B1" s="10" t="s">
        <v>119</v>
      </c>
      <c r="C1" s="10" t="s">
        <v>120</v>
      </c>
      <c r="D1" s="10" t="s">
        <v>58</v>
      </c>
      <c r="E1" s="10" t="s">
        <v>59</v>
      </c>
    </row>
    <row r="2" customFormat="false" ht="13.8" hidden="false" customHeight="false" outlineLevel="0" collapsed="false">
      <c r="A2" s="1" t="s">
        <v>299</v>
      </c>
    </row>
    <row r="3" customFormat="false" ht="13.8" hidden="false" customHeight="false" outlineLevel="0" collapsed="false">
      <c r="A3" s="1" t="s">
        <v>5</v>
      </c>
      <c r="B3" s="1" t="s">
        <v>122</v>
      </c>
      <c r="C3" s="1" t="s">
        <v>123</v>
      </c>
    </row>
    <row r="4" customFormat="false" ht="13.8" hidden="false" customHeight="false" outlineLevel="0" collapsed="false">
      <c r="A4" s="0" t="s">
        <v>69</v>
      </c>
      <c r="B4" s="1" t="s">
        <v>124</v>
      </c>
      <c r="C4" s="0" t="s">
        <v>300</v>
      </c>
    </row>
    <row r="5" customFormat="false" ht="13.8" hidden="false" customHeight="false" outlineLevel="0" collapsed="false">
      <c r="A5" s="0" t="s">
        <v>69</v>
      </c>
      <c r="B5" s="1" t="s">
        <v>126</v>
      </c>
      <c r="C5" s="0" t="n">
        <v>6</v>
      </c>
    </row>
    <row r="6" customFormat="false" ht="13.8" hidden="false" customHeight="false" outlineLevel="0" collapsed="false">
      <c r="A6" s="0" t="s">
        <v>69</v>
      </c>
      <c r="B6" s="1" t="s">
        <v>127</v>
      </c>
      <c r="C6" s="0" t="n">
        <v>0</v>
      </c>
    </row>
    <row r="7" customFormat="false" ht="13.8" hidden="false" customHeight="false" outlineLevel="0" collapsed="false">
      <c r="A7" s="0" t="s">
        <v>69</v>
      </c>
      <c r="B7" s="1" t="s">
        <v>128</v>
      </c>
      <c r="C7" s="0" t="n">
        <v>6</v>
      </c>
    </row>
    <row r="8" customFormat="false" ht="13.8" hidden="false" customHeight="false" outlineLevel="0" collapsed="false">
      <c r="B8" s="1"/>
    </row>
    <row r="9" customFormat="false" ht="13.8" hidden="false" customHeight="false" outlineLevel="0" collapsed="false">
      <c r="A9" s="0" t="s">
        <v>73</v>
      </c>
      <c r="B9" s="1" t="s">
        <v>124</v>
      </c>
      <c r="C9" s="0" t="s">
        <v>301</v>
      </c>
    </row>
    <row r="10" customFormat="false" ht="13.8" hidden="false" customHeight="false" outlineLevel="0" collapsed="false">
      <c r="A10" s="0" t="s">
        <v>73</v>
      </c>
      <c r="B10" s="1" t="s">
        <v>126</v>
      </c>
      <c r="C10" s="0" t="n">
        <v>6</v>
      </c>
    </row>
    <row r="11" customFormat="false" ht="13.8" hidden="false" customHeight="false" outlineLevel="0" collapsed="false">
      <c r="A11" s="0" t="s">
        <v>73</v>
      </c>
      <c r="B11" s="1" t="s">
        <v>127</v>
      </c>
      <c r="C11" s="0" t="n">
        <v>2</v>
      </c>
    </row>
    <row r="12" customFormat="false" ht="13.8" hidden="false" customHeight="false" outlineLevel="0" collapsed="false">
      <c r="A12" s="0" t="s">
        <v>73</v>
      </c>
      <c r="B12" s="1" t="s">
        <v>128</v>
      </c>
      <c r="C12" s="0" t="n">
        <v>4</v>
      </c>
    </row>
    <row r="13" customFormat="false" ht="13.8" hidden="false" customHeight="false" outlineLevel="0" collapsed="false">
      <c r="B13" s="1"/>
    </row>
    <row r="14" customFormat="false" ht="13.8" hidden="false" customHeight="false" outlineLevel="0" collapsed="false">
      <c r="A14" s="0" t="s">
        <v>77</v>
      </c>
      <c r="B14" s="1" t="s">
        <v>124</v>
      </c>
      <c r="C14" s="0" t="s">
        <v>302</v>
      </c>
    </row>
    <row r="15" customFormat="false" ht="13.8" hidden="false" customHeight="false" outlineLevel="0" collapsed="false">
      <c r="A15" s="0" t="s">
        <v>77</v>
      </c>
      <c r="B15" s="1" t="s">
        <v>126</v>
      </c>
      <c r="C15" s="0" t="n">
        <v>3</v>
      </c>
    </row>
    <row r="16" customFormat="false" ht="13.8" hidden="false" customHeight="false" outlineLevel="0" collapsed="false">
      <c r="A16" s="0" t="s">
        <v>77</v>
      </c>
      <c r="B16" s="1" t="s">
        <v>127</v>
      </c>
      <c r="C16" s="0" t="n">
        <v>0</v>
      </c>
    </row>
    <row r="17" customFormat="false" ht="13.8" hidden="false" customHeight="false" outlineLevel="0" collapsed="false">
      <c r="A17" s="0" t="s">
        <v>77</v>
      </c>
      <c r="B17" s="1" t="s">
        <v>128</v>
      </c>
      <c r="C17" s="0" t="n">
        <v>3</v>
      </c>
    </row>
    <row r="18" customFormat="false" ht="13.8" hidden="false" customHeight="false" outlineLevel="0" collapsed="false">
      <c r="B18" s="1"/>
    </row>
    <row r="19" customFormat="false" ht="13.8" hidden="false" customHeight="false" outlineLevel="0" collapsed="false">
      <c r="A19" s="10" t="s">
        <v>79</v>
      </c>
      <c r="B19" s="1" t="s">
        <v>124</v>
      </c>
      <c r="C19" s="0" t="s">
        <v>303</v>
      </c>
    </row>
    <row r="20" customFormat="false" ht="13.8" hidden="false" customHeight="false" outlineLevel="0" collapsed="false">
      <c r="A20" s="10" t="s">
        <v>79</v>
      </c>
      <c r="B20" s="1" t="s">
        <v>126</v>
      </c>
      <c r="C20" s="0" t="n">
        <v>6</v>
      </c>
    </row>
    <row r="21" customFormat="false" ht="13.8" hidden="false" customHeight="false" outlineLevel="0" collapsed="false">
      <c r="A21" s="10" t="s">
        <v>79</v>
      </c>
      <c r="B21" s="1" t="s">
        <v>127</v>
      </c>
      <c r="C21" s="0" t="n">
        <v>5</v>
      </c>
    </row>
    <row r="22" customFormat="false" ht="13.8" hidden="false" customHeight="false" outlineLevel="0" collapsed="false">
      <c r="A22" s="10" t="s">
        <v>79</v>
      </c>
      <c r="B22" s="1" t="s">
        <v>128</v>
      </c>
      <c r="C22" s="0" t="n">
        <v>1</v>
      </c>
    </row>
    <row r="23" customFormat="false" ht="13.8" hidden="false" customHeight="false" outlineLevel="0" collapsed="false">
      <c r="B23" s="1"/>
    </row>
    <row r="24" customFormat="false" ht="13.8" hidden="false" customHeight="false" outlineLevel="0" collapsed="false">
      <c r="A24" s="0" t="s">
        <v>81</v>
      </c>
      <c r="B24" s="1" t="s">
        <v>124</v>
      </c>
      <c r="C24" s="0" t="s">
        <v>304</v>
      </c>
    </row>
    <row r="25" customFormat="false" ht="13.8" hidden="false" customHeight="false" outlineLevel="0" collapsed="false">
      <c r="A25" s="0" t="s">
        <v>81</v>
      </c>
      <c r="B25" s="1" t="s">
        <v>126</v>
      </c>
      <c r="C25" s="0" t="n">
        <v>6</v>
      </c>
    </row>
    <row r="26" customFormat="false" ht="13.8" hidden="false" customHeight="false" outlineLevel="0" collapsed="false">
      <c r="A26" s="0" t="s">
        <v>81</v>
      </c>
      <c r="B26" s="1" t="s">
        <v>127</v>
      </c>
      <c r="C26" s="0" t="n">
        <v>3</v>
      </c>
    </row>
    <row r="27" customFormat="false" ht="13.8" hidden="false" customHeight="false" outlineLevel="0" collapsed="false">
      <c r="A27" s="0" t="s">
        <v>81</v>
      </c>
      <c r="B27" s="1" t="s">
        <v>128</v>
      </c>
      <c r="C27" s="0" t="n">
        <v>3</v>
      </c>
    </row>
    <row r="28" customFormat="false" ht="13.8" hidden="false" customHeight="false" outlineLevel="0" collapsed="false">
      <c r="B28" s="1"/>
    </row>
    <row r="29" customFormat="false" ht="13.8" hidden="false" customHeight="false" outlineLevel="0" collapsed="false">
      <c r="A29" s="0" t="s">
        <v>83</v>
      </c>
      <c r="B29" s="1" t="s">
        <v>124</v>
      </c>
      <c r="C29" s="0" t="s">
        <v>305</v>
      </c>
    </row>
    <row r="30" customFormat="false" ht="13.8" hidden="false" customHeight="false" outlineLevel="0" collapsed="false">
      <c r="A30" s="0" t="s">
        <v>83</v>
      </c>
      <c r="B30" s="1" t="s">
        <v>126</v>
      </c>
      <c r="C30" s="0" t="n">
        <v>6</v>
      </c>
    </row>
    <row r="31" customFormat="false" ht="13.8" hidden="false" customHeight="false" outlineLevel="0" collapsed="false">
      <c r="A31" s="0" t="s">
        <v>83</v>
      </c>
      <c r="B31" s="1" t="s">
        <v>127</v>
      </c>
      <c r="C31" s="0" t="n">
        <v>0</v>
      </c>
    </row>
    <row r="32" customFormat="false" ht="13.8" hidden="false" customHeight="false" outlineLevel="0" collapsed="false">
      <c r="A32" s="0" t="s">
        <v>83</v>
      </c>
      <c r="B32" s="1" t="s">
        <v>128</v>
      </c>
      <c r="C32" s="0" t="n">
        <v>6</v>
      </c>
    </row>
    <row r="33" customFormat="false" ht="13.8" hidden="false" customHeight="false" outlineLevel="0" collapsed="false">
      <c r="B33" s="1"/>
    </row>
    <row r="34" customFormat="false" ht="13.8" hidden="false" customHeight="false" outlineLevel="0" collapsed="false">
      <c r="A34" s="0" t="s">
        <v>85</v>
      </c>
      <c r="B34" s="1" t="s">
        <v>124</v>
      </c>
      <c r="C34" s="0" t="s">
        <v>306</v>
      </c>
    </row>
    <row r="35" customFormat="false" ht="13.8" hidden="false" customHeight="false" outlineLevel="0" collapsed="false">
      <c r="A35" s="0" t="s">
        <v>85</v>
      </c>
      <c r="B35" s="1" t="s">
        <v>126</v>
      </c>
      <c r="C35" s="0" t="n">
        <v>6</v>
      </c>
    </row>
    <row r="36" customFormat="false" ht="13.8" hidden="false" customHeight="false" outlineLevel="0" collapsed="false">
      <c r="A36" s="0" t="s">
        <v>85</v>
      </c>
      <c r="B36" s="1" t="s">
        <v>127</v>
      </c>
      <c r="C36" s="0" t="n">
        <v>0</v>
      </c>
    </row>
    <row r="37" customFormat="false" ht="13.8" hidden="false" customHeight="false" outlineLevel="0" collapsed="false">
      <c r="A37" s="0" t="s">
        <v>85</v>
      </c>
      <c r="B37" s="1" t="s">
        <v>128</v>
      </c>
      <c r="C37" s="0" t="n">
        <v>6</v>
      </c>
    </row>
    <row r="38" customFormat="false" ht="13.8" hidden="false" customHeight="false" outlineLevel="0" collapsed="false">
      <c r="B38" s="1"/>
    </row>
    <row r="39" customFormat="false" ht="13.8" hidden="false" customHeight="false" outlineLevel="0" collapsed="false">
      <c r="A39" s="0" t="s">
        <v>87</v>
      </c>
      <c r="B39" s="1" t="s">
        <v>124</v>
      </c>
      <c r="C39" s="0" t="s">
        <v>301</v>
      </c>
    </row>
    <row r="40" customFormat="false" ht="13.8" hidden="false" customHeight="false" outlineLevel="0" collapsed="false">
      <c r="A40" s="0" t="s">
        <v>87</v>
      </c>
      <c r="B40" s="1" t="s">
        <v>126</v>
      </c>
      <c r="C40" s="0" t="n">
        <v>6</v>
      </c>
    </row>
    <row r="41" customFormat="false" ht="13.8" hidden="false" customHeight="false" outlineLevel="0" collapsed="false">
      <c r="A41" s="0" t="s">
        <v>87</v>
      </c>
      <c r="B41" s="1" t="s">
        <v>127</v>
      </c>
      <c r="C41" s="0" t="n">
        <v>2</v>
      </c>
    </row>
    <row r="42" customFormat="false" ht="13.8" hidden="false" customHeight="false" outlineLevel="0" collapsed="false">
      <c r="A42" s="0" t="s">
        <v>87</v>
      </c>
      <c r="B42" s="1" t="s">
        <v>128</v>
      </c>
      <c r="C42" s="0" t="n">
        <v>4</v>
      </c>
    </row>
    <row r="43" customFormat="false" ht="13.8" hidden="false" customHeight="false" outlineLevel="0" collapsed="false">
      <c r="B43" s="1"/>
    </row>
    <row r="44" customFormat="false" ht="13.8" hidden="false" customHeight="false" outlineLevel="0" collapsed="false">
      <c r="A44" s="0" t="s">
        <v>89</v>
      </c>
      <c r="B44" s="1" t="s">
        <v>124</v>
      </c>
      <c r="C44" s="0" t="s">
        <v>307</v>
      </c>
    </row>
    <row r="45" customFormat="false" ht="13.8" hidden="false" customHeight="false" outlineLevel="0" collapsed="false">
      <c r="A45" s="0" t="s">
        <v>89</v>
      </c>
      <c r="B45" s="1" t="s">
        <v>126</v>
      </c>
      <c r="C45" s="0" t="n">
        <v>6</v>
      </c>
    </row>
    <row r="46" customFormat="false" ht="13.8" hidden="false" customHeight="false" outlineLevel="0" collapsed="false">
      <c r="A46" s="0" t="s">
        <v>89</v>
      </c>
      <c r="B46" s="1" t="s">
        <v>127</v>
      </c>
      <c r="C46" s="0" t="n">
        <v>0</v>
      </c>
    </row>
    <row r="47" customFormat="false" ht="13.8" hidden="false" customHeight="false" outlineLevel="0" collapsed="false">
      <c r="A47" s="0" t="s">
        <v>89</v>
      </c>
      <c r="B47" s="1" t="s">
        <v>128</v>
      </c>
      <c r="C47" s="0" t="n">
        <v>6</v>
      </c>
    </row>
    <row r="48" customFormat="false" ht="13.8" hidden="false" customHeight="false" outlineLevel="0" collapsed="false">
      <c r="B48" s="1"/>
    </row>
    <row r="49" customFormat="false" ht="13.8" hidden="false" customHeight="false" outlineLevel="0" collapsed="false">
      <c r="A49" s="0" t="s">
        <v>91</v>
      </c>
      <c r="B49" s="1" t="s">
        <v>308</v>
      </c>
      <c r="C49" s="0" t="s">
        <v>309</v>
      </c>
    </row>
    <row r="50" customFormat="false" ht="13.8" hidden="false" customHeight="false" outlineLevel="0" collapsed="false">
      <c r="A50" s="0" t="s">
        <v>91</v>
      </c>
      <c r="B50" s="1" t="s">
        <v>126</v>
      </c>
      <c r="C50" s="0" t="n">
        <v>6</v>
      </c>
    </row>
    <row r="51" customFormat="false" ht="13.8" hidden="false" customHeight="false" outlineLevel="0" collapsed="false">
      <c r="A51" s="0" t="s">
        <v>91</v>
      </c>
      <c r="B51" s="1" t="s">
        <v>127</v>
      </c>
      <c r="C51" s="0" t="n">
        <v>0</v>
      </c>
    </row>
    <row r="52" customFormat="false" ht="13.8" hidden="false" customHeight="false" outlineLevel="0" collapsed="false">
      <c r="A52" s="0" t="s">
        <v>91</v>
      </c>
      <c r="B52" s="1" t="s">
        <v>128</v>
      </c>
      <c r="C52" s="0" t="n">
        <v>6</v>
      </c>
    </row>
    <row r="53" customFormat="false" ht="13.8" hidden="false" customHeight="false" outlineLevel="0" collapsed="false">
      <c r="B53" s="1"/>
    </row>
    <row r="54" customFormat="false" ht="13.8" hidden="false" customHeight="false" outlineLevel="0" collapsed="false">
      <c r="A54" s="0" t="s">
        <v>93</v>
      </c>
      <c r="B54" s="1" t="s">
        <v>124</v>
      </c>
      <c r="C54" s="0" t="s">
        <v>302</v>
      </c>
    </row>
    <row r="55" customFormat="false" ht="13.8" hidden="false" customHeight="false" outlineLevel="0" collapsed="false">
      <c r="A55" s="0" t="s">
        <v>93</v>
      </c>
      <c r="B55" s="1" t="s">
        <v>126</v>
      </c>
      <c r="C55" s="0" t="n">
        <v>3</v>
      </c>
    </row>
    <row r="56" customFormat="false" ht="13.8" hidden="false" customHeight="false" outlineLevel="0" collapsed="false">
      <c r="A56" s="0" t="s">
        <v>93</v>
      </c>
      <c r="B56" s="1" t="s">
        <v>127</v>
      </c>
      <c r="C56" s="0" t="n">
        <v>0</v>
      </c>
    </row>
    <row r="57" customFormat="false" ht="13.8" hidden="false" customHeight="false" outlineLevel="0" collapsed="false">
      <c r="A57" s="0" t="s">
        <v>93</v>
      </c>
      <c r="B57" s="1" t="s">
        <v>128</v>
      </c>
      <c r="C57" s="0" t="n">
        <v>3</v>
      </c>
    </row>
    <row r="58" customFormat="false" ht="13.8" hidden="false" customHeight="false" outlineLevel="0" collapsed="false">
      <c r="B58" s="1"/>
    </row>
    <row r="59" customFormat="false" ht="13.8" hidden="false" customHeight="false" outlineLevel="0" collapsed="false">
      <c r="A59" s="0" t="s">
        <v>95</v>
      </c>
      <c r="B59" s="1" t="s">
        <v>124</v>
      </c>
      <c r="C59" s="0" t="s">
        <v>310</v>
      </c>
    </row>
    <row r="60" customFormat="false" ht="13.8" hidden="false" customHeight="false" outlineLevel="0" collapsed="false">
      <c r="A60" s="0" t="s">
        <v>95</v>
      </c>
      <c r="B60" s="1" t="s">
        <v>126</v>
      </c>
      <c r="C60" s="0" t="n">
        <v>6</v>
      </c>
    </row>
    <row r="61" customFormat="false" ht="13.8" hidden="false" customHeight="false" outlineLevel="0" collapsed="false">
      <c r="A61" s="0" t="s">
        <v>95</v>
      </c>
      <c r="B61" s="1" t="s">
        <v>127</v>
      </c>
      <c r="C61" s="0" t="n">
        <v>0</v>
      </c>
    </row>
    <row r="62" customFormat="false" ht="13.8" hidden="false" customHeight="false" outlineLevel="0" collapsed="false">
      <c r="A62" s="0" t="s">
        <v>95</v>
      </c>
      <c r="B62" s="1" t="s">
        <v>128</v>
      </c>
      <c r="C62" s="0" t="n">
        <v>6</v>
      </c>
    </row>
    <row r="63" customFormat="false" ht="13.8" hidden="false" customHeight="false" outlineLevel="0" collapsed="false">
      <c r="B63" s="1"/>
    </row>
    <row r="64" customFormat="false" ht="13.8" hidden="false" customHeight="false" outlineLevel="0" collapsed="false">
      <c r="A64" s="0" t="s">
        <v>96</v>
      </c>
      <c r="B64" s="1" t="s">
        <v>124</v>
      </c>
      <c r="C64" s="0" t="s">
        <v>311</v>
      </c>
    </row>
    <row r="65" customFormat="false" ht="13.8" hidden="false" customHeight="false" outlineLevel="0" collapsed="false">
      <c r="A65" s="0" t="s">
        <v>96</v>
      </c>
      <c r="B65" s="1" t="s">
        <v>126</v>
      </c>
      <c r="C65" s="0" t="n">
        <v>6</v>
      </c>
    </row>
    <row r="66" customFormat="false" ht="13.8" hidden="false" customHeight="false" outlineLevel="0" collapsed="false">
      <c r="A66" s="0" t="s">
        <v>96</v>
      </c>
      <c r="B66" s="1" t="s">
        <v>127</v>
      </c>
      <c r="C66" s="0" t="n">
        <v>0</v>
      </c>
    </row>
    <row r="67" customFormat="false" ht="13.8" hidden="false" customHeight="false" outlineLevel="0" collapsed="false">
      <c r="A67" s="0" t="s">
        <v>96</v>
      </c>
      <c r="B67" s="1" t="s">
        <v>128</v>
      </c>
      <c r="C67" s="0" t="n">
        <v>6</v>
      </c>
    </row>
    <row r="68" customFormat="false" ht="13.8" hidden="false" customHeight="false" outlineLevel="0" collapsed="false">
      <c r="B68" s="1"/>
    </row>
    <row r="69" customFormat="false" ht="13.8" hidden="false" customHeight="false" outlineLevel="0" collapsed="false">
      <c r="A69" s="0" t="s">
        <v>98</v>
      </c>
      <c r="B69" s="1" t="s">
        <v>124</v>
      </c>
      <c r="C69" s="0" t="s">
        <v>312</v>
      </c>
    </row>
    <row r="70" customFormat="false" ht="13.8" hidden="false" customHeight="false" outlineLevel="0" collapsed="false">
      <c r="A70" s="0" t="s">
        <v>98</v>
      </c>
      <c r="B70" s="1" t="s">
        <v>126</v>
      </c>
      <c r="C70" s="0" t="n">
        <v>6</v>
      </c>
    </row>
    <row r="71" customFormat="false" ht="13.8" hidden="false" customHeight="false" outlineLevel="0" collapsed="false">
      <c r="A71" s="0" t="s">
        <v>98</v>
      </c>
      <c r="B71" s="1" t="s">
        <v>127</v>
      </c>
      <c r="C71" s="0" t="n">
        <v>3</v>
      </c>
    </row>
    <row r="72" customFormat="false" ht="13.8" hidden="false" customHeight="false" outlineLevel="0" collapsed="false">
      <c r="A72" s="0" t="s">
        <v>98</v>
      </c>
      <c r="B72" s="1" t="s">
        <v>128</v>
      </c>
      <c r="C72" s="0" t="n">
        <v>3</v>
      </c>
    </row>
    <row r="73" customFormat="false" ht="13.8" hidden="false" customHeight="false" outlineLevel="0" collapsed="false">
      <c r="B73" s="1"/>
    </row>
    <row r="74" customFormat="false" ht="13.8" hidden="false" customHeight="false" outlineLevel="0" collapsed="false">
      <c r="A74" s="0" t="s">
        <v>99</v>
      </c>
      <c r="B74" s="1" t="s">
        <v>124</v>
      </c>
      <c r="C74" s="0" t="s">
        <v>313</v>
      </c>
    </row>
    <row r="75" customFormat="false" ht="13.8" hidden="false" customHeight="false" outlineLevel="0" collapsed="false">
      <c r="A75" s="0" t="s">
        <v>99</v>
      </c>
      <c r="B75" s="1" t="s">
        <v>126</v>
      </c>
      <c r="C75" s="0" t="n">
        <v>7</v>
      </c>
    </row>
    <row r="76" customFormat="false" ht="13.8" hidden="false" customHeight="false" outlineLevel="0" collapsed="false">
      <c r="A76" s="0" t="s">
        <v>99</v>
      </c>
      <c r="B76" s="1" t="s">
        <v>127</v>
      </c>
      <c r="C76" s="0" t="n">
        <v>3</v>
      </c>
    </row>
    <row r="77" customFormat="false" ht="13.8" hidden="false" customHeight="false" outlineLevel="0" collapsed="false">
      <c r="A77" s="0" t="s">
        <v>99</v>
      </c>
      <c r="B77" s="1" t="s">
        <v>128</v>
      </c>
      <c r="C77" s="0" t="n">
        <v>4</v>
      </c>
    </row>
    <row r="79" customFormat="false" ht="13.8" hidden="false" customHeight="false" outlineLevel="0" collapsed="false">
      <c r="B79" s="8" t="s">
        <v>126</v>
      </c>
      <c r="C79" s="9" t="n">
        <f aca="false">SUM(C5,C10,C15,C20,C25,C30,C35,C40,C45,C50,C55,C60,C65,C70,C75)</f>
        <v>85</v>
      </c>
      <c r="E79" s="7" t="s">
        <v>68</v>
      </c>
      <c r="F79" s="7"/>
    </row>
    <row r="80" customFormat="false" ht="13.8" hidden="false" customHeight="false" outlineLevel="0" collapsed="false">
      <c r="B80" s="8" t="s">
        <v>142</v>
      </c>
      <c r="C80" s="9" t="n">
        <f aca="false">SUM(C6,C11,C16,C21,C26,C31,C36,C41,C46,C51,C56,C61,C66,C71,C76)</f>
        <v>18</v>
      </c>
      <c r="E80" s="12" t="s">
        <v>71</v>
      </c>
      <c r="F80" s="12"/>
    </row>
    <row r="81" customFormat="false" ht="13.8" hidden="false" customHeight="false" outlineLevel="0" collapsed="false">
      <c r="B81" s="8" t="s">
        <v>143</v>
      </c>
      <c r="C81" s="9" t="n">
        <f aca="false">C79-C80</f>
        <v>67</v>
      </c>
      <c r="E81" s="0" t="s">
        <v>75</v>
      </c>
      <c r="F81" s="0" t="s">
        <v>76</v>
      </c>
    </row>
    <row r="82" customFormat="false" ht="13.8" hidden="false" customHeight="false" outlineLevel="0" collapsed="false">
      <c r="B82" s="8" t="s">
        <v>144</v>
      </c>
      <c r="C82" s="15" t="n">
        <f aca="false">C81/C79*100</f>
        <v>78.8235294117647</v>
      </c>
      <c r="E82" s="0" t="n">
        <v>9</v>
      </c>
      <c r="F82" s="0" t="n">
        <v>6</v>
      </c>
    </row>
  </sheetData>
  <mergeCells count="1">
    <mergeCell ref="E80:F8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67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2025-07-13T07:00:27Z</dcterms:created>
  <dc:creator>diana cerdas</dc:creator>
  <dc:description/>
  <dc:language>en-US</dc:language>
  <cp:lastModifiedBy/>
  <dcterms:modified xsi:type="dcterms:W3CDTF">2026-03-04T11:35:41Z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