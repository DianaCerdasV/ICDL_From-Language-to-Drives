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issions_arrange_apples" sheetId="1" state="visible" r:id="rId2"/>
    <sheet name="Drives_arrange_apples" sheetId="2" state="visible" r:id="rId3"/>
    <sheet name="Missions_cylinders_in_baskets" sheetId="3" state="visible" r:id="rId4"/>
    <sheet name="Drives_cylinders_in_basket" sheetId="4" state="visible" r:id="rId5"/>
    <sheet name="Missions_stack_cylinders" sheetId="5" state="visible" r:id="rId6"/>
    <sheet name="Drives_stack_cylinders" sheetId="6" state="visible" r:id="rId7"/>
  </sheets>
  <definedNames>
    <definedName function="false" hidden="false" name="Cilindros___Propósito" vbProcedure="false">#REF!</definedName>
    <definedName function="false" hidden="false" localSheetId="0" name="DatosExternos_1" vbProcedure="false">Missions_arrange_apples!$A$1:$C$19</definedName>
    <definedName function="false" hidden="false" localSheetId="1" name="DatosExternos_1" vbProcedure="false">Drives_arrange_apples!$A$1:$C$82</definedName>
    <definedName function="false" hidden="false" localSheetId="2" name="DatosExternos_1" vbProcedure="false">Missions_cylinders_in_baskets!$A$1:$C$21</definedName>
    <definedName function="false" hidden="false" localSheetId="3" name="DatosExternos_1" vbProcedure="false">Drives_cylinders_in_basket!$A$1:$C$82</definedName>
    <definedName function="false" hidden="false" localSheetId="4" name="DatosExternos_1" vbProcedure="false">Missions_stack_cylinders!$A$1:$B$19</definedName>
    <definedName function="false" hidden="false" localSheetId="5" name="DatosExternos_1" vbProcedure="false">Drives_stack_cylinders!$A$1:$C$77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<sst xmlns="http://schemas.openxmlformats.org/spreadsheetml/2006/main" count="598" uniqueCount="90">
  <si>
    <t xml:space="preserve">Column1</t>
  </si>
  <si>
    <t xml:space="preserve">Column4</t>
  </si>
  <si>
    <t xml:space="preserve">Column5</t>
  </si>
  <si>
    <t xml:space="preserve">Column6</t>
  </si>
  <si>
    <t xml:space="preserve">Column7</t>
  </si>
  <si>
    <t xml:space="preserve">Apples-Missions</t>
  </si>
  <si>
    <t xml:space="preserve">Purpose</t>
  </si>
  <si>
    <t xml:space="preserve">Missions with feedback</t>
  </si>
  <si>
    <t xml:space="preserve">Total proposed missions</t>
  </si>
  <si>
    <t xml:space="preserve">Invalid missions</t>
  </si>
  <si>
    <t xml:space="preserve">Valid missions</t>
  </si>
  <si>
    <t xml:space="preserve">Ideal missions</t>
  </si>
  <si>
    <t xml:space="preserve">1</t>
  </si>
  <si>
    <t xml:space="preserve">[['red_apple_in_hand', 0.1], ['red_apple_right_side', 0.2], ['green_apple_in_hand', 0.3], ['green_apple_left_side', 0.4]]</t>
  </si>
  <si>
    <t xml:space="preserve">2</t>
  </si>
  <si>
    <t xml:space="preserve">[['red_apple_in_hand', 0.2], ['red_apple_right_side', 0.4], ['green_apple_in_hand', 0.6], ['green_apple_left_side', 0.8]]</t>
  </si>
  <si>
    <t xml:space="preserve">3</t>
  </si>
  <si>
    <t xml:space="preserve">4</t>
  </si>
  <si>
    <t xml:space="preserve">Summary</t>
  </si>
  <si>
    <t xml:space="preserve">5</t>
  </si>
  <si>
    <t xml:space="preserve">[['red_apple_in_hand', 0.2], ['red_apple_on_right_side', 0.4], ['green_apple_in_hand', 0.6], ['green_apple_on_left_side', 0.8]]</t>
  </si>
  <si>
    <t xml:space="preserve">Feedback in the alignment</t>
  </si>
  <si>
    <t xml:space="preserve">6</t>
  </si>
  <si>
    <t xml:space="preserve">[['red_apple_in_hand', 0.4], ['red_apple_right_side', 0.6], ['green_apple_in_hand', 0.7], ['green_apple_left_side', 1.0]]</t>
  </si>
  <si>
    <t xml:space="preserve">Valid iterations</t>
  </si>
  <si>
    <t xml:space="preserve">Invalid iterations</t>
  </si>
  <si>
    <t xml:space="preserve">7</t>
  </si>
  <si>
    <t xml:space="preserve">[['red_apple_in_hand', 0.4], ['green_apple_in_hand', 0.6], ['red_apple_right_side', 0.7], ['green_apple_left_side', 0.9]]</t>
  </si>
  <si>
    <t xml:space="preserve">8</t>
  </si>
  <si>
    <t xml:space="preserve">9</t>
  </si>
  <si>
    <t xml:space="preserve">10</t>
  </si>
  <si>
    <t xml:space="preserve">11</t>
  </si>
  <si>
    <t xml:space="preserve">[['apple2_in_hand', 0.4], ['red_apple_right_side', 0.6], ['apple3_in_hand', 0.7], ['green_apple_left_side', 1.0]]</t>
  </si>
  <si>
    <t xml:space="preserve">12</t>
  </si>
  <si>
    <t xml:space="preserve">13</t>
  </si>
  <si>
    <t xml:space="preserve">14</t>
  </si>
  <si>
    <t xml:space="preserve">15</t>
  </si>
  <si>
    <t xml:space="preserve">TOTAL</t>
  </si>
  <si>
    <t xml:space="preserve">%</t>
  </si>
  <si>
    <t xml:space="preserve">Column2</t>
  </si>
  <si>
    <t xml:space="preserve">Column3</t>
  </si>
  <si>
    <t xml:space="preserve">Apples-Drives</t>
  </si>
  <si>
    <t xml:space="preserve">Item</t>
  </si>
  <si>
    <t xml:space="preserve">Result</t>
  </si>
  <si>
    <t xml:space="preserve">Initial drives</t>
  </si>
  <si>
    <t xml:space="preserve">[['max(0, 1 - robot_hand.state) + abs(object2.x_position - robot_hand.x_position) + abs(object2.y_position - robot_hand.y_position)'], ['max(0, 0.5 - object2.x_position)'], ['max(0, 1 - robot_hand.state) + abs(object3.x_position - robot_hand.x_position) + abs(object3.y_position - robot_hand.y_position)'], ['max(0, object3.x_position - 0.5)']]</t>
  </si>
  <si>
    <t xml:space="preserve">Total drive functions</t>
  </si>
  <si>
    <t xml:space="preserve">Invalid drive functions</t>
  </si>
  <si>
    <t xml:space="preserve">Valid drive functions</t>
  </si>
  <si>
    <t xml:space="preserve">[['max(0, 1 - robot_hand.state) + abs(robot_hand.state - (object2.x_position == robot_hand.x_position and object2.y_position == robot_hand.y_position))'], ['max(0, 0.5 - object2.x_position)'], ['max(0, 1 - robot_hand.state) + abs(robot_hand.state - (object3.x_position == robot_hand.x_position and object3.y_position == robot_hand.y_position))'], ['max(0, object3.x_position - 0.5)']]</t>
  </si>
  <si>
    <t xml:space="preserve">[['max(0, 1 - robot_hand.state) + max(0, abs(robot_hand.x_position - object2.x_position) + abs(robot_hand.y_position - object2.y_position) - 0.01)'], ['max(0, 0.5 - object2.x_position)'], ['max(0, 1 - robot_hand.state) + max(0, abs(robot_hand.x_position - object3.x_position) + abs(robot_hand.y_position - object3.y_position) - 0.01)'], ['max(0, object3.x_position - 0.5)']]</t>
  </si>
  <si>
    <t xml:space="preserve">[['max(0, 1 - robot_hand.state) + max(0, abs(object2.x_position - robot_hand.x_position) + abs(object2.y_position - robot_hand.y_position)) * (1 - robot_hand.state)'], ['max(0, 0.5 - object2.x_position)'], ['max(0, 1 - robot_hand.state) + max(0, abs(object3.x_position - robot_hand.x_position) + abs(object3.y_position - robot_hand.y_position)) * (1 - robot_hand.state)'], ['max(0, object3.x_position - 0.5)']]</t>
  </si>
  <si>
    <t xml:space="preserve">[['max(abs(object2.x_position - robot_hand.x_position), abs(object2.y_position - robot_hand.y_position)) + (1 - robot_hand.state)'], ['max(abs(object3.x_position - robot_hand.x_position), abs(object3.y_position - robot_hand.y_position)) + (1 - robot_hand.state)'], ['abs(object2.x_position - 0.75) + abs(object2.y_position - object2.y_position) + robot_hand.state + max(0, 0.5 - object2.x_position)'], ['abs(object3.x_position - 0.25) + abs(object3.y_position - object3.y_position) + robot_hand.state + max(0, object3.x_position - 0.5)']]</t>
  </si>
  <si>
    <t xml:space="preserve">[['max(0, 1 - robot_hand.state) + max(0, abs(object2.x_position - robot_hand.x_position)) + max(0, abs(object2.y_position - robot_hand.y_position))'], ['max(0, 0.5 - object2.x_position)'], ['max(0, 1 - robot_hand.state) + max(0, abs(object3.x_position - robot_hand.x_position)) + max(0, abs(object3.y_position - robot_hand.y_position))'], ['max(0, object3.x_position - 0.5)']]</t>
  </si>
  <si>
    <t xml:space="preserve">[['max(abs(robot_hand.x_position - object2.x_position), abs(robot_hand.y_position - object2.y_position)) + abs(robot_hand.state - 1)'], ['max(0, 0.5 - object2.x_position)'], ['max(abs(robot_hand.x_position - object3.x_position), abs(robot_hand.y_position - object3.y_position)) + abs(robot_hand.state - 1)'], ['max(0, object3.x_position - 0.5)']]</t>
  </si>
  <si>
    <t xml:space="preserve">[['max(0, 1 - robot_hand.state) + max(0, abs(object2.x_position - robot_hand.x_position) + abs(object2.y_position - robot_hand.y_position) - 0.01)'], ['max(0, 0.5 - object2.x_position)'], ['max(0, 1 - robot_hand.state) + max(0, abs(object3.x_position - robot_hand.x_position) + abs(object3.y_position - robot_hand.y_position) - 0.01)'], ['max(0, object3.x_position - 0.5)']]</t>
  </si>
  <si>
    <t xml:space="preserve">[['abs(robot_hand.state - 1) + abs(object2.x_position - robot_hand.x_position) + abs(object2.y_position - robot_hand.y_position)'], ['abs(object2.x_position - 0.75) * (object2.x_position &lt;= 0.5)'], ['abs(robot_hand.state - 1) + abs(object3.x_position - robot_hand.x_position) + abs(object3.y_position - robot_hand.y_position)'], ['abs(object3.x_position - 0.25) * (object3.x_position &gt;= 0.5)']]</t>
  </si>
  <si>
    <t xml:space="preserve">[['abs(object2.x_position - robot_hand.x_position) + abs(object2.y_position - robot_hand.y_position) + (1 - robot_hand.state)'], ['max(0, 0.5 - object2.x_position)'], ['abs(object3.x_position - robot_hand.x_position) + abs(object3.y_position - robot_hand.y_position) + (1 - robot_hand.state)'], ['max(0, object3.x_position - 0.5)']]</t>
  </si>
  <si>
    <t xml:space="preserve">TOTAL invalid drive functions</t>
  </si>
  <si>
    <t xml:space="preserve">TOTAL valid drive functions</t>
  </si>
  <si>
    <t xml:space="preserve">% valid drive functions</t>
  </si>
  <si>
    <t xml:space="preserve">Column8</t>
  </si>
  <si>
    <t xml:space="preserve">Cylinder-Missions</t>
  </si>
  <si>
    <t xml:space="preserve">Total</t>
  </si>
  <si>
    <t xml:space="preserve">Invalid</t>
  </si>
  <si>
    <t xml:space="preserve">Valid</t>
  </si>
  <si>
    <t xml:space="preserve">[['red_cylinder_in_hand', 0.1], ['red_cylinder_in_green_basket', 0.2], ['blue_cylinder_in_hand', 0.3], ['blue_cylinder_in_yellow_basket', 0.4]]</t>
  </si>
  <si>
    <t xml:space="preserve">[['red_cylinder_in_hand', 0.2], ['red_cylinder_in_green_basket', 0.4], ['blue_cylinder_in_hand', 0.6], ['blue_cylinder_in_yellow_basket', 0.8]]</t>
  </si>
  <si>
    <t xml:space="preserve">Cylinders-Drives</t>
  </si>
  <si>
    <t xml:space="preserve">[['(object2.x_position - robot_hand.x_position)**2 + (object2.y_position - robot_hand.y_position)**2 + (1 - robot_hand.state)'], ['(object2.x_position - object4.x_position)**2 + (object2.y_position - object4.y_position)**2'], ['(object3.x_position - robot_hand.x_position)**2 + (object3.y_position - robot_hand.y_position)**2 + (1 - robot_hand.state)'], ['(object3.x_position - object5.x_position)**2 + (object3.y_position - object5.y_position)**2']]</t>
  </si>
  <si>
    <t xml:space="preserve">[['(1 - robot_hand.state) + (robot_hand.x_position - object2.x_position)**2 + (robot_hand.y_position - object2.y_position)**2'], ['(object2.x_position - object4.x_position)**2 + (object2.y_position - object4.y_position)**2'], ['(1 - robot_hand.state) + (robot_hand.x_position - object3.x_position)**2 + (robot_hand.y_position - object3.y_position)**2'], ['(object3.x_position - object5.x_position)**2 + (object3.y_position - object5.y_position)**2']]</t>
  </si>
  <si>
    <t xml:space="preserve">[['(1 - robot_hand.state) + (object2.x_position - robot_hand.x_position)**2 + (object2.y_position - robot_hand.y_position)**2'], ['(object2.x_position - object4.x_position)**2 + (object2.y_position - object4.y_position)**2'], ['(1 - robot_hand.state) + (object3.x_position - robot_hand.x_position)**2 + (object3.y_position - robot_hand.y_position)**2'], ['(object3.x_position - object5.x_position)**2 + (object3.y_position - object5.y_position)**2']]</t>
  </si>
  <si>
    <t xml:space="preserve">[['(abs(object2.x_position - robot_hand.x_position) + abs(object2.y_position - robot_hand.y_position) + abs(robot_hand.state - 1))'], ['(abs(object2.x_position - object4.x_position) + abs(object2.y_position - object4.y_position))'], ['(abs(object3.x_position - robot_hand.x_position) + abs(object3.y_position - robot_hand.y_position) + abs(robot_hand.state - 1))'], ['(abs(object3.x_position - object5.x_position) + abs(object3.y_position - object5.y_position))']]</t>
  </si>
  <si>
    <t xml:space="preserve">[['( (robot_hand.x_position - object2.x_position)**2 + (robot_hand.y_position - object2.y_position)**2 ) + (1 - robot_hand.state)'], ['( (object2.x_position - object4.x_position)**2 + (object2.y_position - object4.y_position)**2 )'], ['( (robot_hand.x_position - object3.x_position)**2 + (robot_hand.y_position - object3.y_position)**2 ) + (1 - robot_hand.state)'], ['( (object3.x_position - object5.x_position)**2 + (object3.y_position - object5.y_position)**2 )']]</t>
  </si>
  <si>
    <t xml:space="preserve">[['(robot_hand.x_position - object2.x_position)**2 + (robot_hand.y_position - object2.y_position)**2 + (1 - robot_hand.state)'], ['(object2.x_position - object4.x_position)**2 + (object2.y_position - object4.y_position)**2'], ['(robot_hand.x_position - object3.x_position)**2 + (robot_hand.y_position - object3.y_position)**2 + (1 - robot_hand.state)'], ['(object3.x_position - object5.x_position)**2 + (object3.y_position - object5.y_position)**2']]</t>
  </si>
  <si>
    <t xml:space="preserve">[['(abs(robot_hand.x_position - object2.x_position) + abs(robot_hand.y_position - object2.y_position)) + (1 - robot_hand.state)'], ['(abs(object2.x_position - object4.x_position) + abs(object2.y_position - object4.y_position))'], ['(abs(robot_hand.x_position - object3.x_position) + abs(robot_hand.y_position - object3.y_position)) + (1 - robot_hand.state)'], ['(abs(object3.x_position - object5.x_position) + abs(object3.y_position - object5.y_position))']]</t>
  </si>
  <si>
    <t xml:space="preserve">Stack – Missions</t>
  </si>
  <si>
    <t xml:space="preserve">Proposed missions</t>
  </si>
  <si>
    <t xml:space="preserve">[['object4_in_hand', 0.1], ['object4_center_of_table', 0.2], ['object2_in_hand', 0.3], ['object2_on_object4', 0.4], ['object3_in_hand', 0.5], ['object3_on_object2', 0.6]]</t>
  </si>
  <si>
    <t xml:space="preserve">Stack-Drives</t>
  </si>
  <si>
    <t xml:space="preserve">[['(1 - robot_hand.state) + (abs(robot_hand.x_position - object4.x_position) + abs(robot_hand.y_position - object4.y_position))'], ['abs(object4.x_position - 0.5) + abs(object4.y_position - 0.5)'], ['(1 - robot_hand.state) + (abs(robot_hand.x_position - object2.x_position) + abs(robot_hand.y_position - object2.y_position))'], ['abs(object2.x_position - object4.x_position) + abs(object2.y_position - object4.y_position)'], ['(1 - robot_hand.state) + (abs(robot_hand.x_position - object3.x_position) + abs(robot_hand.y_position - object3.y_position))'], ['abs(object3.x_position - object2.x_position) + abs(object3.y_position - object2.y_position)']]</t>
  </si>
  <si>
    <t xml:space="preserve">[['(1 - robot_hand.state) + (object4.x_position - robot_hand.x_position)**2 + (object4.y_position - robot_hand.y_position)**2'], ['(object4.x_position - 0.5)**2 + (object4.y_position - 0.5)**2'], ['(1 - robot_hand.state) + (object2.x_position - robot_hand.x_position)**2 + (object2.y_position - robot_hand.y_position)**2'], ['(object2.x_position - object4.x_position)**2 + (object2.y_position - object4.y_position)**2'], ['(1 - robot_hand.state) + (object3.x_position - robot_hand.x_position)**2 + (object3.y_position - robot_hand.y_position)**2'], ['(object3.x_position - object2.x_position)**2 + (object3.y_position - object2.y_position)**2']]</t>
  </si>
  <si>
    <t xml:space="preserve">[['(1 - robot_hand.state) + abs(robot_hand.x_position - object4.x_position) + abs(robot_hand.y_position - object4.y_position)'], ['abs(object4.x_position - 0.5) + abs(object4.y_position - 0.5)'], ['(1 - robot_hand.state) + abs(robot_hand.x_position - object2.x_position) + abs(robot_hand.y_position - object2.y_position)'], ['abs(object2.x_position - object4.x_position) + abs(object2.y_position - object4.y_position)'], ['(1 - robot_hand.state) + abs(robot_hand.x_position - object3.x_position) + abs(robot_hand.y_position - object3.y_position)'], ['abs(object3.x_position - object2.x_position) + abs(object3.y_position - object2.y_position)']]</t>
  </si>
  <si>
    <t xml:space="preserve">[['max(0, 1 - robot_hand.state) + (object4.x_position - robot_hand.x_position)**2 + (object4.y_position - robot_hand.y_position)**2'], ['(object4.x_position - 0.5)**2 + (object4.y_position - 0.5)**2'], ['max(0, 1 - robot_hand.state) + (object2.x_position - robot_hand.x_position)**2 + (object2.y_position - robot_hand.y_position)**2'], ['(object2.x_position - object4.x_position)**2 + (object2.y_position - object4.y_position)**2'], ['max(0, 1 - robot_hand.state) + (object3.x_position - robot_hand.x_position)**2 + (object3.y_position - robot_hand.y_position)**2'], ['(object3.x_position - object2.x_position)**2 + (object3.y_position - object2.y_position)**2']]</t>
  </si>
  <si>
    <t xml:space="preserve">[['(1 - robot_hand.state) + abs(object4.x_position - robot_hand.x_position) + abs(object4.y_position - robot_hand.y_position)'], ['abs(object4.x_position - 0.5) + abs(object4.y_position - 0.5)'], ['(1 - robot_hand.state) + abs(object2.x_position - robot_hand.x_position) + abs(object2.y_position - robot_hand.y_position)'], ['abs(object2.x_position - object4.x_position) + abs(object2.y_position - object4.y_position)'], ['(1 - robot_hand.state) + abs(object3.x_position - robot_hand.x_position) + abs(object3.y_position - robot_hand.y_position)'], ['abs(object3.x_position - object2.x_position) + abs(object3.y_position - object2.y_position)']]</t>
  </si>
  <si>
    <t xml:space="preserve">[['abs(robot_hand.state - 1) + abs(object4.x_position - robot_hand.x_position) + abs(object4.y_position - robot_hand.y_position)'], ['abs(object4.x_position - 0.5) + abs(object4.y_position - 0.5)'], ['abs(robot_hand.state - 1) + abs(object2.x_position - robot_hand.x_position) + abs(object2.y_position - robot_hand.y_position)'], ['abs(object2.x_position - object4.x_position) + abs(object2.y_position - object4.y_position)'], ['abs(robot_hand.state - 1) + abs(object3.x_position - robot_hand.x_position) + abs(object3.y_position - robot_hand.y_position)'], ['abs(object3.x_position - object2.x_position) + abs(object3.y_position - object2.y_position)']]</t>
  </si>
  <si>
    <t xml:space="preserve">[['max(0, 1 - robot_hand.state)'], ['(object4.x_position - 0.5)**2 + (object4.y_position - 0.5)**2'], ['max(0, 1 - robot_hand.state)'], ['(object2.x_position - object4.x_position)**2 + (object2.y_position - object4.y_position)**2'], ['max(0, 1 - robot_hand.state)'], ['(object3.x_position - object2.x_position)**2 + (object3.y_position - object2.y_position)**2']]</t>
  </si>
  <si>
    <t xml:space="preserve">Final drives</t>
  </si>
  <si>
    <t xml:space="preserve">[['max(0, 1 - robot_hand.state) + abs(object4.x_position - robot_hand.x_position) + abs(object4.y_position - robot_hand.y_position)'], ['abs(object4.x_position - 0.5) + abs(object4.y_position - 0.5)'], ['max(0, 1 - robot_hand.state) + abs(object2.x_position - robot_hand.x_position) + abs(object2.y_position - robot_hand.y_position)'], ['abs(object2.x_position - object4.x_position) + abs(object2.y_position - object4.y_position)'], ['max(0, 1 - robot_hand.state) + abs(object3.x_position - robot_hand.x_position) + abs(object3.y_position - robot_hand.y_position)'], ['abs(object3.x_position - object2.x_position) + abs(object3.y_position - object2.y_position)']]</t>
  </si>
  <si>
    <t xml:space="preserve">[['(1 - robot_hand.state) + (abs(object4.x_position - robot_hand.x_position) + abs(object4.y_position - robot_hand.y_position))'], ['(abs(object4.x_position - 0.5) + abs(object4.y_position - 0.5))'], ['(1 - robot_hand.state) + (abs(object2.x_position - robot_hand.x_position) + abs(object2.y_position - robot_hand.y_position))'], ['(abs(object2.x_position - object4.x_position) + abs(object2.y_position - object4.y_position))'], ['(1 - robot_hand.state) + (abs(object3.x_position - robot_hand.x_position) + abs(object3.y_position - robot_hand.y_position))'], ['(abs(object3.x_position - object2.x_position) + abs(object3.y_position - object2.y_position))']]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</si>
</sst>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1CBF4"/>
        <bgColor rgb="FF96DCF8"/>
      </patternFill>
    </fill>
    <fill>
      <patternFill patternType="solid">
        <fgColor rgb="FFCAEEFB"/>
        <bgColor rgb="FFCCFFFF"/>
      </patternFill>
    </fill>
    <fill>
      <patternFill patternType="solid">
        <fgColor rgb="FF96DCF8"/>
        <bgColor rgb="FFCAEE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61CBF4"/>
        </patternFill>
      </fill>
    </dxf>
    <dxf>
      <fill>
        <patternFill patternType="solid">
          <fgColor rgb="FFCAEEFB"/>
        </patternFill>
      </fill>
    </dxf>
    <dxf>
      <fill>
        <patternFill patternType="solid">
          <fgColor rgb="FF96DC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61CBF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pilar_misiones" displayName="Apilar_misiones" ref="A1:C20" headerRowCount="1" totalsRowCount="1" totalsRowShown="1">
  <autoFilter ref="A1:C20"/>
  <tableColumns count="3">
    <tableColumn id="1" name="Column1"/>
    <tableColumn id="2" name="Column4"/>
    <tableColumn id="3" name="Column6"/>
  </tableColumns>
</table>
</file>

<file path=xl/tables/table2.xml><?xml version="1.0" encoding="utf-8"?>
<table xmlns="http://schemas.openxmlformats.org/spreadsheetml/2006/main" id="2" name="Drives_apilar" displayName="Drives_apilar" ref="A1:E77" headerRowCount="1" totalsRowCount="0" totalsRowShown="0">
  <autoFilter ref="A1:E77"/>
  <tableColumns count="5">
    <tableColumn id="1" name="Column1"/>
    <tableColumn id="2" name="Column2"/>
    <tableColumn id="3" name="Column3"/>
    <tableColumn id="4" name="Column4"/>
    <tableColumn id="5" name="Column5"/>
  </tableColumns>
</table>
</file>

<file path=xl/tables/table3.xml><?xml version="1.0" encoding="utf-8"?>
<table xmlns="http://schemas.openxmlformats.org/spreadsheetml/2006/main" id="3" name="Misiones_cilindros_canastas" displayName="Misiones_cilindros_canastas" ref="A1:F21" headerRowCount="1" totalsRowCount="0" totalsRowShown="0">
  <autoFilter ref="A1:F21"/>
  <tableColumns count="6">
    <tableColumn id="1" name="Column1"/>
    <tableColumn id="2" name="Column4"/>
    <tableColumn id="3" name="Column5"/>
    <tableColumn id="4" name="Column6"/>
    <tableColumn id="5" name="Column7"/>
    <tableColumn id="6" name="Column8"/>
  </tableColumns>
</table>
</file>

<file path=xl/tables/table4.xml><?xml version="1.0" encoding="utf-8"?>
<table xmlns="http://schemas.openxmlformats.org/spreadsheetml/2006/main" id="4" name="Misiones_clasificar_manzanas_color" displayName="Misiones_clasificar_manzanas_color" ref="A1:E20" headerRowCount="1" totalsRowCount="1" totalsRowShown="1">
  <autoFilter ref="A1:E20"/>
  <tableColumns count="5">
    <tableColumn id="1" name="Column1"/>
    <tableColumn id="2" name="Column4"/>
    <tableColumn id="3" name="Column5"/>
    <tableColumn id="4" name="Column6"/>
    <tableColumn id="5" name="Column7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H1" colorId="64" zoomScale="81" zoomScaleNormal="81" zoomScalePageLayoutView="100" workbookViewId="0">
      <selection pane="topLeft" activeCell="J12" activeCellId="0" sqref="J12"/>
    </sheetView>
  </sheetViews>
  <sheetFormatPr defaultColWidth="10.5859375" defaultRowHeight="13.8" zeroHeight="false" outlineLevelRow="0" outlineLevelCol="0"/>
  <cols>
    <col collapsed="false" customWidth="true" hidden="false" outlineLevel="0" max="1" min="1" style="0" width="24.45"/>
    <col collapsed="false" customWidth="true" hidden="false" outlineLevel="0" max="2" min="2" style="0" width="158.66"/>
    <col collapsed="false" customWidth="true" hidden="false" outlineLevel="0" max="3" min="3" style="0" width="23.45"/>
    <col collapsed="false" customWidth="true" hidden="false" outlineLevel="0" max="4" min="4" style="0" width="24"/>
    <col collapsed="false" customWidth="true" hidden="false" outlineLevel="0" max="5" min="5" style="0" width="19.55"/>
    <col collapsed="false" customWidth="true" hidden="false" outlineLevel="0" max="6" min="6" style="0" width="23.68"/>
    <col collapsed="false" customWidth="true" hidden="false" outlineLevel="0" max="7" min="7" style="0" width="44.66"/>
    <col collapsed="false" customWidth="true" hidden="false" outlineLevel="0" max="12" min="9" style="0" width="26.9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</row>
    <row r="4" customFormat="false" ht="13.8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customFormat="false" ht="13.8" hidden="false" customHeight="false" outlineLevel="0" collapsed="false">
      <c r="A5" s="4" t="s">
        <v>12</v>
      </c>
      <c r="B5" s="0" t="s">
        <v>13</v>
      </c>
      <c r="C5" s="4" t="n">
        <v>4</v>
      </c>
      <c r="D5" s="4" t="n">
        <v>0</v>
      </c>
      <c r="E5" s="4" t="n">
        <v>4</v>
      </c>
      <c r="F5" s="4" t="n">
        <v>4</v>
      </c>
    </row>
    <row r="6" customFormat="false" ht="13.8" hidden="false" customHeight="false" outlineLevel="0" collapsed="false">
      <c r="A6" s="4" t="s">
        <v>14</v>
      </c>
      <c r="B6" s="0" t="s">
        <v>15</v>
      </c>
      <c r="C6" s="4" t="n">
        <v>4</v>
      </c>
      <c r="D6" s="4" t="n">
        <v>0</v>
      </c>
      <c r="E6" s="4" t="n">
        <v>4</v>
      </c>
      <c r="F6" s="4" t="n">
        <v>4</v>
      </c>
    </row>
    <row r="7" customFormat="false" ht="13.8" hidden="false" customHeight="false" outlineLevel="0" collapsed="false">
      <c r="A7" s="4" t="s">
        <v>16</v>
      </c>
      <c r="B7" s="0" t="s">
        <v>15</v>
      </c>
      <c r="C7" s="4" t="n">
        <v>4</v>
      </c>
      <c r="D7" s="4" t="n">
        <v>0</v>
      </c>
      <c r="E7" s="4" t="n">
        <v>4</v>
      </c>
      <c r="F7" s="4" t="n">
        <v>4</v>
      </c>
    </row>
    <row r="8" customFormat="false" ht="14.7" hidden="false" customHeight="false" outlineLevel="0" collapsed="false">
      <c r="A8" s="4" t="s">
        <v>17</v>
      </c>
      <c r="B8" s="0" t="s">
        <v>15</v>
      </c>
      <c r="C8" s="4" t="n">
        <v>4</v>
      </c>
      <c r="D8" s="4" t="n">
        <v>0</v>
      </c>
      <c r="E8" s="4" t="n">
        <v>4</v>
      </c>
      <c r="F8" s="4" t="n">
        <v>4</v>
      </c>
      <c r="I8" s="5" t="s">
        <v>18</v>
      </c>
      <c r="J8" s="5"/>
    </row>
    <row r="9" customFormat="false" ht="13.8" hidden="false" customHeight="false" outlineLevel="0" collapsed="false">
      <c r="A9" s="4" t="s">
        <v>19</v>
      </c>
      <c r="B9" s="0" t="s">
        <v>20</v>
      </c>
      <c r="C9" s="4" t="n">
        <v>4</v>
      </c>
      <c r="D9" s="4" t="n">
        <v>0</v>
      </c>
      <c r="E9" s="4" t="n">
        <v>4</v>
      </c>
      <c r="F9" s="4" t="n">
        <v>4</v>
      </c>
      <c r="I9" s="6" t="s">
        <v>21</v>
      </c>
      <c r="J9" s="6"/>
      <c r="K9" s="6"/>
      <c r="L9" s="6"/>
    </row>
    <row r="10" customFormat="false" ht="13.8" hidden="false" customHeight="false" outlineLevel="0" collapsed="false">
      <c r="A10" s="4" t="s">
        <v>22</v>
      </c>
      <c r="B10" s="0" t="s">
        <v>23</v>
      </c>
      <c r="C10" s="4" t="n">
        <v>4</v>
      </c>
      <c r="D10" s="4" t="n">
        <v>0</v>
      </c>
      <c r="E10" s="4" t="n">
        <v>4</v>
      </c>
      <c r="F10" s="4" t="n">
        <v>4</v>
      </c>
      <c r="I10" s="0" t="s">
        <v>24</v>
      </c>
      <c r="J10" s="0" t="s">
        <v>25</v>
      </c>
    </row>
    <row r="11" customFormat="false" ht="13.8" hidden="false" customHeight="false" outlineLevel="0" collapsed="false">
      <c r="A11" s="4" t="s">
        <v>26</v>
      </c>
      <c r="B11" s="0" t="s">
        <v>27</v>
      </c>
      <c r="C11" s="4" t="n">
        <v>4</v>
      </c>
      <c r="D11" s="4" t="n">
        <v>0</v>
      </c>
      <c r="E11" s="4" t="n">
        <v>4</v>
      </c>
      <c r="F11" s="4" t="n">
        <v>4</v>
      </c>
      <c r="I11" s="0" t="n">
        <v>15</v>
      </c>
      <c r="J11" s="0" t="n">
        <v>0</v>
      </c>
    </row>
    <row r="12" customFormat="false" ht="13.8" hidden="false" customHeight="false" outlineLevel="0" collapsed="false">
      <c r="A12" s="4" t="s">
        <v>28</v>
      </c>
      <c r="B12" s="0" t="s">
        <v>13</v>
      </c>
      <c r="C12" s="4" t="n">
        <v>4</v>
      </c>
      <c r="D12" s="4" t="n">
        <v>0</v>
      </c>
      <c r="E12" s="4" t="n">
        <v>4</v>
      </c>
      <c r="F12" s="4" t="n">
        <v>4</v>
      </c>
    </row>
    <row r="13" customFormat="false" ht="13.8" hidden="false" customHeight="false" outlineLevel="0" collapsed="false">
      <c r="A13" s="4" t="s">
        <v>29</v>
      </c>
      <c r="B13" s="0" t="s">
        <v>15</v>
      </c>
      <c r="C13" s="4" t="n">
        <v>4</v>
      </c>
      <c r="D13" s="4" t="n">
        <v>0</v>
      </c>
      <c r="E13" s="4" t="n">
        <v>4</v>
      </c>
      <c r="F13" s="4" t="n">
        <v>4</v>
      </c>
    </row>
    <row r="14" customFormat="false" ht="13.8" hidden="false" customHeight="false" outlineLevel="0" collapsed="false">
      <c r="A14" s="4" t="s">
        <v>30</v>
      </c>
      <c r="B14" s="0" t="s">
        <v>15</v>
      </c>
      <c r="C14" s="4" t="n">
        <v>4</v>
      </c>
      <c r="D14" s="4" t="n">
        <v>0</v>
      </c>
      <c r="E14" s="4" t="n">
        <v>4</v>
      </c>
      <c r="F14" s="4" t="n">
        <v>4</v>
      </c>
    </row>
    <row r="15" customFormat="false" ht="13.8" hidden="false" customHeight="false" outlineLevel="0" collapsed="false">
      <c r="A15" s="4" t="s">
        <v>31</v>
      </c>
      <c r="B15" s="0" t="s">
        <v>32</v>
      </c>
      <c r="C15" s="4" t="n">
        <v>4</v>
      </c>
      <c r="D15" s="4" t="n">
        <v>0</v>
      </c>
      <c r="E15" s="4" t="n">
        <v>4</v>
      </c>
      <c r="F15" s="4" t="n">
        <v>4</v>
      </c>
    </row>
    <row r="16" customFormat="false" ht="13.8" hidden="false" customHeight="false" outlineLevel="0" collapsed="false">
      <c r="A16" s="4" t="s">
        <v>33</v>
      </c>
      <c r="B16" s="0" t="s">
        <v>13</v>
      </c>
      <c r="C16" s="4" t="n">
        <v>4</v>
      </c>
      <c r="D16" s="4" t="n">
        <v>0</v>
      </c>
      <c r="E16" s="4" t="n">
        <v>4</v>
      </c>
      <c r="F16" s="4" t="n">
        <v>4</v>
      </c>
    </row>
    <row r="17" customFormat="false" ht="13.8" hidden="false" customHeight="false" outlineLevel="0" collapsed="false">
      <c r="A17" s="4" t="s">
        <v>34</v>
      </c>
      <c r="B17" s="0" t="s">
        <v>15</v>
      </c>
      <c r="C17" s="4" t="n">
        <v>4</v>
      </c>
      <c r="D17" s="4" t="n">
        <v>0</v>
      </c>
      <c r="E17" s="4" t="n">
        <v>4</v>
      </c>
      <c r="F17" s="4" t="n">
        <v>4</v>
      </c>
    </row>
    <row r="18" customFormat="false" ht="13.8" hidden="false" customHeight="false" outlineLevel="0" collapsed="false">
      <c r="A18" s="4" t="s">
        <v>35</v>
      </c>
      <c r="B18" s="0" t="s">
        <v>15</v>
      </c>
      <c r="C18" s="4" t="n">
        <v>4</v>
      </c>
      <c r="D18" s="4" t="n">
        <v>0</v>
      </c>
      <c r="E18" s="4" t="n">
        <v>4</v>
      </c>
      <c r="F18" s="4" t="n">
        <v>4</v>
      </c>
    </row>
    <row r="19" customFormat="false" ht="13.8" hidden="false" customHeight="false" outlineLevel="0" collapsed="false">
      <c r="A19" s="4" t="s">
        <v>36</v>
      </c>
      <c r="B19" s="0" t="s">
        <v>15</v>
      </c>
      <c r="C19" s="4" t="n">
        <v>4</v>
      </c>
      <c r="D19" s="4" t="n">
        <v>0</v>
      </c>
      <c r="E19" s="4" t="n">
        <v>4</v>
      </c>
      <c r="F19" s="4" t="n">
        <v>4</v>
      </c>
    </row>
    <row r="21" customFormat="false" ht="13.8" hidden="false" customHeight="false" outlineLevel="0" collapsed="false">
      <c r="B21" s="7" t="s">
        <v>37</v>
      </c>
      <c r="C21" s="8" t="n">
        <f aca="false">SUM(C5:C19)</f>
        <v>60</v>
      </c>
      <c r="D21" s="8" t="n">
        <f aca="false">SUM(D5:D19)</f>
        <v>0</v>
      </c>
      <c r="E21" s="8" t="n">
        <f aca="false">SUM(E5:E19)</f>
        <v>60</v>
      </c>
      <c r="F21" s="8" t="n">
        <f aca="false">SUM(F5:F19)</f>
        <v>60</v>
      </c>
    </row>
    <row r="22" customFormat="false" ht="13.8" hidden="false" customHeight="false" outlineLevel="0" collapsed="false">
      <c r="B22" s="7" t="s">
        <v>38</v>
      </c>
      <c r="C22" s="9"/>
      <c r="D22" s="9" t="n">
        <f aca="false">D21/C21*100</f>
        <v>0</v>
      </c>
      <c r="E22" s="9" t="n">
        <f aca="false">E21/C21*100</f>
        <v>100</v>
      </c>
      <c r="F22" s="9"/>
    </row>
    <row r="31" customFormat="false" ht="13.8" hidden="false" customHeight="false" outlineLevel="0" collapsed="false">
      <c r="B31" s="10"/>
      <c r="C31" s="10"/>
      <c r="D31" s="10"/>
      <c r="E31" s="10"/>
      <c r="F31" s="10"/>
      <c r="G31" s="10"/>
    </row>
    <row r="32" customFormat="false" ht="13.8" hidden="false" customHeight="false" outlineLevel="0" collapsed="false">
      <c r="A32" s="10"/>
      <c r="B32" s="10"/>
      <c r="C32" s="10"/>
      <c r="D32" s="10"/>
      <c r="E32" s="10"/>
      <c r="F32" s="10"/>
      <c r="G32" s="10"/>
    </row>
    <row r="33" customFormat="false" ht="13.8" hidden="false" customHeight="false" outlineLevel="0" collapsed="false">
      <c r="A33" s="10"/>
      <c r="B33" s="10"/>
      <c r="C33" s="10"/>
      <c r="D33" s="10"/>
      <c r="E33" s="10"/>
      <c r="F33" s="10"/>
      <c r="G33" s="10"/>
    </row>
    <row r="34" customFormat="false" ht="13.8" hidden="false" customHeight="false" outlineLevel="0" collapsed="false">
      <c r="A34" s="11"/>
      <c r="B34" s="11"/>
      <c r="C34" s="11"/>
      <c r="D34" s="11"/>
      <c r="E34" s="11"/>
      <c r="F34" s="11"/>
      <c r="G34" s="10"/>
    </row>
    <row r="35" customFormat="false" ht="13.8" hidden="false" customHeight="false" outlineLevel="0" collapsed="false">
      <c r="A35" s="12"/>
      <c r="B35" s="10"/>
      <c r="C35" s="12"/>
      <c r="D35" s="12"/>
      <c r="E35" s="12"/>
      <c r="F35" s="12"/>
      <c r="G35" s="10"/>
    </row>
    <row r="36" customFormat="false" ht="13.8" hidden="false" customHeight="false" outlineLevel="0" collapsed="false">
      <c r="A36" s="12"/>
      <c r="B36" s="10"/>
      <c r="C36" s="12"/>
      <c r="D36" s="12"/>
      <c r="E36" s="12"/>
      <c r="F36" s="12"/>
      <c r="G36" s="10"/>
    </row>
    <row r="37" customFormat="false" ht="13.8" hidden="false" customHeight="false" outlineLevel="0" collapsed="false">
      <c r="A37" s="12"/>
      <c r="B37" s="10"/>
      <c r="C37" s="12"/>
      <c r="D37" s="12"/>
      <c r="E37" s="12"/>
      <c r="F37" s="12"/>
      <c r="G37" s="10"/>
    </row>
    <row r="38" customFormat="false" ht="13.8" hidden="false" customHeight="false" outlineLevel="0" collapsed="false">
      <c r="A38" s="12"/>
      <c r="B38" s="10"/>
      <c r="C38" s="12"/>
      <c r="D38" s="12"/>
      <c r="E38" s="12"/>
      <c r="F38" s="12"/>
      <c r="G38" s="10"/>
    </row>
    <row r="39" customFormat="false" ht="13.8" hidden="false" customHeight="false" outlineLevel="0" collapsed="false">
      <c r="A39" s="12"/>
      <c r="B39" s="10"/>
      <c r="C39" s="12"/>
      <c r="D39" s="12"/>
      <c r="E39" s="12"/>
      <c r="F39" s="12"/>
      <c r="G39" s="10"/>
    </row>
    <row r="40" customFormat="false" ht="13.8" hidden="false" customHeight="false" outlineLevel="0" collapsed="false">
      <c r="A40" s="12"/>
      <c r="B40" s="10"/>
      <c r="C40" s="12"/>
      <c r="D40" s="12"/>
      <c r="E40" s="12"/>
      <c r="F40" s="12"/>
      <c r="G40" s="10"/>
    </row>
    <row r="41" customFormat="false" ht="13.8" hidden="false" customHeight="false" outlineLevel="0" collapsed="false">
      <c r="A41" s="12"/>
      <c r="B41" s="10"/>
      <c r="C41" s="12"/>
      <c r="D41" s="12"/>
      <c r="E41" s="12"/>
      <c r="F41" s="12"/>
      <c r="G41" s="10"/>
    </row>
    <row r="42" customFormat="false" ht="13.8" hidden="false" customHeight="false" outlineLevel="0" collapsed="false">
      <c r="A42" s="12"/>
      <c r="B42" s="10"/>
      <c r="C42" s="12"/>
      <c r="D42" s="12"/>
      <c r="E42" s="12"/>
      <c r="F42" s="12"/>
      <c r="G42" s="10"/>
    </row>
    <row r="43" customFormat="false" ht="13.8" hidden="false" customHeight="false" outlineLevel="0" collapsed="false">
      <c r="A43" s="12"/>
      <c r="B43" s="10"/>
      <c r="C43" s="12"/>
      <c r="D43" s="12"/>
      <c r="E43" s="12"/>
      <c r="F43" s="12"/>
      <c r="G43" s="10"/>
    </row>
    <row r="44" customFormat="false" ht="13.8" hidden="false" customHeight="false" outlineLevel="0" collapsed="false">
      <c r="A44" s="12"/>
      <c r="B44" s="10"/>
      <c r="C44" s="12"/>
      <c r="D44" s="12"/>
      <c r="E44" s="12"/>
      <c r="F44" s="12"/>
      <c r="G44" s="10"/>
    </row>
    <row r="45" customFormat="false" ht="13.8" hidden="false" customHeight="false" outlineLevel="0" collapsed="false">
      <c r="A45" s="12"/>
      <c r="B45" s="10"/>
      <c r="C45" s="12"/>
      <c r="D45" s="12"/>
      <c r="E45" s="12"/>
      <c r="F45" s="12"/>
      <c r="G45" s="10"/>
    </row>
    <row r="46" customFormat="false" ht="13.8" hidden="false" customHeight="false" outlineLevel="0" collapsed="false">
      <c r="A46" s="12"/>
      <c r="B46" s="10"/>
      <c r="C46" s="12"/>
      <c r="D46" s="12"/>
      <c r="E46" s="12"/>
      <c r="F46" s="12"/>
      <c r="G46" s="10"/>
    </row>
    <row r="47" customFormat="false" ht="13.8" hidden="false" customHeight="false" outlineLevel="0" collapsed="false">
      <c r="A47" s="12"/>
      <c r="B47" s="10"/>
      <c r="C47" s="12"/>
      <c r="D47" s="12"/>
      <c r="E47" s="12"/>
      <c r="F47" s="12"/>
      <c r="G47" s="10"/>
    </row>
    <row r="48" customFormat="false" ht="13.8" hidden="false" customHeight="false" outlineLevel="0" collapsed="false">
      <c r="A48" s="12"/>
      <c r="B48" s="10"/>
      <c r="C48" s="12"/>
      <c r="D48" s="12"/>
      <c r="E48" s="12"/>
      <c r="F48" s="12"/>
      <c r="G48" s="10"/>
    </row>
    <row r="49" customFormat="false" ht="13.8" hidden="false" customHeight="false" outlineLevel="0" collapsed="false">
      <c r="A49" s="12"/>
      <c r="B49" s="10"/>
      <c r="C49" s="12"/>
      <c r="D49" s="12"/>
      <c r="E49" s="12"/>
      <c r="F49" s="12"/>
      <c r="G49" s="10"/>
    </row>
    <row r="50" customFormat="false" ht="13.8" hidden="false" customHeight="false" outlineLevel="0" collapsed="false">
      <c r="A50" s="10"/>
      <c r="B50" s="10"/>
      <c r="C50" s="10"/>
      <c r="D50" s="10"/>
      <c r="E50" s="10"/>
      <c r="F50" s="10"/>
      <c r="G50" s="10"/>
    </row>
    <row r="51" customFormat="false" ht="13.8" hidden="false" customHeight="false" outlineLevel="0" collapsed="false">
      <c r="A51" s="10"/>
      <c r="B51" s="11"/>
      <c r="C51" s="13"/>
      <c r="D51" s="13"/>
      <c r="E51" s="13"/>
      <c r="F51" s="13"/>
      <c r="G51" s="10"/>
    </row>
    <row r="52" customFormat="false" ht="13.8" hidden="false" customHeight="false" outlineLevel="0" collapsed="false">
      <c r="A52" s="10"/>
      <c r="B52" s="11"/>
      <c r="C52" s="11"/>
      <c r="D52" s="11"/>
      <c r="E52" s="11"/>
      <c r="F52" s="11"/>
      <c r="G52" s="10"/>
    </row>
    <row r="53" customFormat="false" ht="13.8" hidden="false" customHeight="false" outlineLevel="0" collapsed="false">
      <c r="A53" s="10"/>
      <c r="B53" s="10"/>
      <c r="C53" s="10"/>
      <c r="D53" s="10"/>
      <c r="E53" s="10"/>
      <c r="F53" s="10"/>
      <c r="G53" s="10"/>
    </row>
    <row r="54" customFormat="false" ht="13.8" hidden="false" customHeight="false" outlineLevel="0" collapsed="false">
      <c r="A54" s="10"/>
      <c r="B54" s="10"/>
      <c r="C54" s="10"/>
      <c r="D54" s="10"/>
      <c r="E54" s="10"/>
      <c r="F54" s="10"/>
      <c r="G54" s="10"/>
    </row>
    <row r="55" customFormat="false" ht="13.8" hidden="false" customHeight="false" outlineLevel="0" collapsed="false">
      <c r="A55" s="10"/>
      <c r="B55" s="10"/>
      <c r="C55" s="10"/>
      <c r="D55" s="10"/>
      <c r="E55" s="10"/>
      <c r="F55" s="10"/>
      <c r="G55" s="10"/>
    </row>
    <row r="56" customFormat="false" ht="13.8" hidden="false" customHeight="false" outlineLevel="0" collapsed="false">
      <c r="A56" s="10"/>
      <c r="B56" s="10"/>
      <c r="C56" s="10"/>
      <c r="D56" s="10"/>
      <c r="E56" s="10"/>
      <c r="F56" s="10"/>
      <c r="G56" s="10"/>
    </row>
    <row r="57" customFormat="false" ht="13.8" hidden="false" customHeight="false" outlineLevel="0" collapsed="false">
      <c r="A57" s="10"/>
      <c r="B57" s="10"/>
      <c r="C57" s="10"/>
      <c r="D57" s="10"/>
      <c r="E57" s="10"/>
      <c r="F57" s="10"/>
      <c r="G57" s="10"/>
    </row>
    <row r="58" customFormat="false" ht="13.8" hidden="false" customHeight="false" outlineLevel="0" collapsed="false">
      <c r="A58" s="10"/>
      <c r="B58" s="10"/>
      <c r="C58" s="10"/>
      <c r="D58" s="10"/>
      <c r="E58" s="10"/>
      <c r="F58" s="10"/>
      <c r="G58" s="10"/>
    </row>
    <row r="59" customFormat="false" ht="13.8" hidden="false" customHeight="false" outlineLevel="0" collapsed="false">
      <c r="B59" s="10"/>
      <c r="C59" s="10"/>
      <c r="D59" s="10"/>
      <c r="E59" s="10"/>
      <c r="F59" s="10"/>
      <c r="G59" s="10"/>
    </row>
    <row r="60" customFormat="false" ht="13.8" hidden="false" customHeight="false" outlineLevel="0" collapsed="false">
      <c r="B60" s="10"/>
      <c r="C60" s="10"/>
      <c r="D60" s="10"/>
      <c r="E60" s="10"/>
      <c r="F60" s="10"/>
      <c r="G60" s="10"/>
    </row>
    <row r="61" customFormat="false" ht="13.8" hidden="false" customHeight="false" outlineLevel="0" collapsed="false">
      <c r="B61" s="10"/>
      <c r="C61" s="10"/>
      <c r="D61" s="10"/>
      <c r="E61" s="10"/>
      <c r="F61" s="10"/>
      <c r="G61" s="10"/>
    </row>
    <row r="62" customFormat="false" ht="13.8" hidden="false" customHeight="false" outlineLevel="0" collapsed="false">
      <c r="B62" s="10"/>
      <c r="C62" s="10"/>
      <c r="D62" s="10"/>
      <c r="E62" s="10"/>
      <c r="F62" s="10"/>
      <c r="G62" s="10"/>
    </row>
    <row r="63" customFormat="false" ht="13.8" hidden="false" customHeight="false" outlineLevel="0" collapsed="false">
      <c r="B63" s="10"/>
      <c r="C63" s="10"/>
      <c r="D63" s="10"/>
      <c r="E63" s="10"/>
      <c r="F63" s="10"/>
      <c r="G63" s="10"/>
    </row>
    <row r="64" customFormat="false" ht="13.8" hidden="false" customHeight="false" outlineLevel="0" collapsed="false">
      <c r="B64" s="10"/>
      <c r="C64" s="10"/>
      <c r="D64" s="10"/>
      <c r="E64" s="10"/>
      <c r="F64" s="10"/>
      <c r="G64" s="10"/>
    </row>
    <row r="65" customFormat="false" ht="13.8" hidden="false" customHeight="false" outlineLevel="0" collapsed="false">
      <c r="B65" s="10"/>
      <c r="C65" s="10"/>
      <c r="D65" s="10"/>
      <c r="E65" s="10"/>
      <c r="F65" s="10"/>
      <c r="G65" s="10"/>
    </row>
    <row r="66" customFormat="false" ht="13.8" hidden="false" customHeight="false" outlineLevel="0" collapsed="false">
      <c r="B66" s="10"/>
      <c r="C66" s="10"/>
      <c r="D66" s="10"/>
      <c r="E66" s="10"/>
      <c r="F66" s="10"/>
      <c r="G66" s="10"/>
    </row>
  </sheetData>
  <mergeCells count="2">
    <mergeCell ref="I9:J9"/>
    <mergeCell ref="K9:L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D7" colorId="64" zoomScale="81" zoomScaleNormal="81" zoomScalePageLayoutView="100" workbookViewId="0">
      <selection pane="topLeft" activeCell="F83" activeCellId="0" sqref="F83"/>
    </sheetView>
  </sheetViews>
  <sheetFormatPr defaultColWidth="10.5859375" defaultRowHeight="13.8" zeroHeight="false" outlineLevelRow="0" outlineLevelCol="0"/>
  <cols>
    <col collapsed="false" customWidth="true" hidden="false" outlineLevel="0" max="1" min="1" style="0" width="26.89"/>
    <col collapsed="false" customWidth="true" hidden="false" outlineLevel="0" max="2" min="2" style="0" width="25.55"/>
    <col collapsed="false" customWidth="true" hidden="false" outlineLevel="0" max="3" min="3" style="0" width="80.89"/>
    <col collapsed="false" customWidth="true" hidden="false" outlineLevel="0" max="4" min="4" style="0" width="42.44"/>
    <col collapsed="false" customWidth="true" hidden="false" outlineLevel="0" max="6" min="5" style="0" width="27.09"/>
  </cols>
  <sheetData>
    <row r="1" customFormat="false" ht="13.8" hidden="false" customHeight="false" outlineLevel="0" collapsed="false">
      <c r="A1" s="1" t="s">
        <v>0</v>
      </c>
      <c r="B1" s="1" t="s">
        <v>39</v>
      </c>
      <c r="C1" s="1" t="s">
        <v>40</v>
      </c>
      <c r="D1" s="1" t="s">
        <v>1</v>
      </c>
      <c r="E1" s="1" t="s">
        <v>2</v>
      </c>
    </row>
    <row r="2" customFormat="false" ht="13.8" hidden="false" customHeight="false" outlineLevel="0" collapsed="false">
      <c r="A2" s="2" t="s">
        <v>41</v>
      </c>
    </row>
    <row r="3" customFormat="false" ht="13.8" hidden="false" customHeight="false" outlineLevel="0" collapsed="false">
      <c r="A3" s="2" t="s">
        <v>6</v>
      </c>
      <c r="B3" s="2" t="s">
        <v>42</v>
      </c>
      <c r="C3" s="2" t="s">
        <v>43</v>
      </c>
    </row>
    <row r="4" customFormat="false" ht="13.8" hidden="false" customHeight="false" outlineLevel="0" collapsed="false">
      <c r="A4" s="0" t="s">
        <v>12</v>
      </c>
      <c r="B4" s="2" t="s">
        <v>44</v>
      </c>
      <c r="C4" s="0" t="s">
        <v>45</v>
      </c>
    </row>
    <row r="5" customFormat="false" ht="13.8" hidden="false" customHeight="false" outlineLevel="0" collapsed="false">
      <c r="A5" s="0" t="s">
        <v>12</v>
      </c>
      <c r="B5" s="2" t="s">
        <v>46</v>
      </c>
      <c r="C5" s="0" t="n">
        <v>4</v>
      </c>
    </row>
    <row r="6" customFormat="false" ht="13.8" hidden="false" customHeight="false" outlineLevel="0" collapsed="false">
      <c r="A6" s="0" t="s">
        <v>12</v>
      </c>
      <c r="B6" s="2" t="s">
        <v>47</v>
      </c>
      <c r="C6" s="0" t="n">
        <v>0</v>
      </c>
    </row>
    <row r="7" customFormat="false" ht="13.8" hidden="false" customHeight="false" outlineLevel="0" collapsed="false">
      <c r="A7" s="0" t="s">
        <v>12</v>
      </c>
      <c r="B7" s="2" t="s">
        <v>48</v>
      </c>
      <c r="C7" s="0" t="n">
        <v>4</v>
      </c>
    </row>
    <row r="8" customFormat="false" ht="13.8" hidden="false" customHeight="false" outlineLevel="0" collapsed="false">
      <c r="B8" s="2"/>
    </row>
    <row r="9" customFormat="false" ht="13.8" hidden="false" customHeight="false" outlineLevel="0" collapsed="false">
      <c r="A9" s="0" t="s">
        <v>14</v>
      </c>
      <c r="B9" s="2" t="s">
        <v>44</v>
      </c>
      <c r="C9" s="0" t="s">
        <v>45</v>
      </c>
    </row>
    <row r="10" customFormat="false" ht="13.8" hidden="false" customHeight="false" outlineLevel="0" collapsed="false">
      <c r="A10" s="0" t="s">
        <v>14</v>
      </c>
      <c r="B10" s="2" t="s">
        <v>46</v>
      </c>
      <c r="C10" s="0" t="n">
        <v>4</v>
      </c>
    </row>
    <row r="11" customFormat="false" ht="13.8" hidden="false" customHeight="false" outlineLevel="0" collapsed="false">
      <c r="A11" s="0" t="s">
        <v>14</v>
      </c>
      <c r="B11" s="2" t="s">
        <v>47</v>
      </c>
      <c r="C11" s="0" t="n">
        <v>0</v>
      </c>
    </row>
    <row r="12" customFormat="false" ht="13.8" hidden="false" customHeight="false" outlineLevel="0" collapsed="false">
      <c r="A12" s="0" t="s">
        <v>14</v>
      </c>
      <c r="B12" s="2" t="s">
        <v>48</v>
      </c>
      <c r="C12" s="0" t="n">
        <v>4</v>
      </c>
    </row>
    <row r="13" customFormat="false" ht="13.8" hidden="false" customHeight="false" outlineLevel="0" collapsed="false">
      <c r="B13" s="2"/>
    </row>
    <row r="14" customFormat="false" ht="13.8" hidden="false" customHeight="false" outlineLevel="0" collapsed="false">
      <c r="A14" s="0" t="s">
        <v>16</v>
      </c>
      <c r="B14" s="2" t="s">
        <v>44</v>
      </c>
      <c r="C14" s="0" t="s">
        <v>45</v>
      </c>
    </row>
    <row r="15" customFormat="false" ht="13.8" hidden="false" customHeight="false" outlineLevel="0" collapsed="false">
      <c r="A15" s="0" t="s">
        <v>16</v>
      </c>
      <c r="B15" s="2" t="s">
        <v>46</v>
      </c>
      <c r="C15" s="0" t="n">
        <v>4</v>
      </c>
    </row>
    <row r="16" customFormat="false" ht="13.8" hidden="false" customHeight="false" outlineLevel="0" collapsed="false">
      <c r="A16" s="0" t="s">
        <v>16</v>
      </c>
      <c r="B16" s="2" t="s">
        <v>47</v>
      </c>
      <c r="C16" s="0" t="n">
        <v>0</v>
      </c>
    </row>
    <row r="17" customFormat="false" ht="13.8" hidden="false" customHeight="false" outlineLevel="0" collapsed="false">
      <c r="A17" s="0" t="s">
        <v>16</v>
      </c>
      <c r="B17" s="2" t="s">
        <v>48</v>
      </c>
      <c r="C17" s="0" t="n">
        <v>4</v>
      </c>
    </row>
    <row r="18" customFormat="false" ht="13.8" hidden="false" customHeight="false" outlineLevel="0" collapsed="false">
      <c r="B18" s="2"/>
    </row>
    <row r="19" customFormat="false" ht="13.8" hidden="false" customHeight="false" outlineLevel="0" collapsed="false">
      <c r="A19" s="0" t="s">
        <v>17</v>
      </c>
      <c r="B19" s="2" t="s">
        <v>44</v>
      </c>
      <c r="C19" s="0" t="s">
        <v>49</v>
      </c>
    </row>
    <row r="20" customFormat="false" ht="13.8" hidden="false" customHeight="false" outlineLevel="0" collapsed="false">
      <c r="A20" s="0" t="s">
        <v>17</v>
      </c>
      <c r="B20" s="2" t="s">
        <v>46</v>
      </c>
      <c r="C20" s="0" t="n">
        <v>4</v>
      </c>
    </row>
    <row r="21" customFormat="false" ht="13.8" hidden="false" customHeight="false" outlineLevel="0" collapsed="false">
      <c r="A21" s="0" t="s">
        <v>17</v>
      </c>
      <c r="B21" s="2" t="s">
        <v>47</v>
      </c>
      <c r="C21" s="0" t="n">
        <v>2</v>
      </c>
    </row>
    <row r="22" customFormat="false" ht="13.8" hidden="false" customHeight="false" outlineLevel="0" collapsed="false">
      <c r="A22" s="0" t="s">
        <v>17</v>
      </c>
      <c r="B22" s="2" t="s">
        <v>48</v>
      </c>
      <c r="C22" s="0" t="n">
        <v>2</v>
      </c>
    </row>
    <row r="23" customFormat="false" ht="13.8" hidden="false" customHeight="false" outlineLevel="0" collapsed="false">
      <c r="B23" s="2"/>
    </row>
    <row r="24" customFormat="false" ht="13.8" hidden="false" customHeight="false" outlineLevel="0" collapsed="false">
      <c r="A24" s="0" t="s">
        <v>19</v>
      </c>
      <c r="B24" s="2" t="s">
        <v>44</v>
      </c>
      <c r="C24" s="0" t="s">
        <v>50</v>
      </c>
    </row>
    <row r="25" customFormat="false" ht="13.8" hidden="false" customHeight="false" outlineLevel="0" collapsed="false">
      <c r="A25" s="0" t="s">
        <v>19</v>
      </c>
      <c r="B25" s="2" t="s">
        <v>46</v>
      </c>
      <c r="C25" s="0" t="n">
        <v>4</v>
      </c>
    </row>
    <row r="26" customFormat="false" ht="13.8" hidden="false" customHeight="false" outlineLevel="0" collapsed="false">
      <c r="A26" s="0" t="s">
        <v>19</v>
      </c>
      <c r="B26" s="2" t="s">
        <v>47</v>
      </c>
      <c r="C26" s="0" t="n">
        <v>0</v>
      </c>
    </row>
    <row r="27" customFormat="false" ht="13.8" hidden="false" customHeight="false" outlineLevel="0" collapsed="false">
      <c r="A27" s="0" t="s">
        <v>19</v>
      </c>
      <c r="B27" s="2" t="s">
        <v>48</v>
      </c>
      <c r="C27" s="0" t="n">
        <v>4</v>
      </c>
    </row>
    <row r="28" customFormat="false" ht="13.8" hidden="false" customHeight="false" outlineLevel="0" collapsed="false">
      <c r="B28" s="2"/>
    </row>
    <row r="29" customFormat="false" ht="13.8" hidden="false" customHeight="false" outlineLevel="0" collapsed="false">
      <c r="A29" s="0" t="s">
        <v>22</v>
      </c>
      <c r="B29" s="2" t="s">
        <v>44</v>
      </c>
      <c r="C29" s="0" t="s">
        <v>51</v>
      </c>
    </row>
    <row r="30" customFormat="false" ht="13.8" hidden="false" customHeight="false" outlineLevel="0" collapsed="false">
      <c r="A30" s="0" t="s">
        <v>22</v>
      </c>
      <c r="B30" s="2" t="s">
        <v>46</v>
      </c>
      <c r="C30" s="0" t="n">
        <v>4</v>
      </c>
    </row>
    <row r="31" customFormat="false" ht="13.8" hidden="false" customHeight="false" outlineLevel="0" collapsed="false">
      <c r="A31" s="0" t="s">
        <v>22</v>
      </c>
      <c r="B31" s="2" t="s">
        <v>47</v>
      </c>
      <c r="C31" s="0" t="n">
        <v>2</v>
      </c>
    </row>
    <row r="32" customFormat="false" ht="13.8" hidden="false" customHeight="false" outlineLevel="0" collapsed="false">
      <c r="A32" s="0" t="s">
        <v>22</v>
      </c>
      <c r="B32" s="2" t="s">
        <v>48</v>
      </c>
      <c r="C32" s="0" t="n">
        <v>2</v>
      </c>
    </row>
    <row r="33" customFormat="false" ht="13.8" hidden="false" customHeight="false" outlineLevel="0" collapsed="false">
      <c r="B33" s="2"/>
    </row>
    <row r="34" customFormat="false" ht="13.8" hidden="false" customHeight="false" outlineLevel="0" collapsed="false">
      <c r="A34" s="0" t="s">
        <v>26</v>
      </c>
      <c r="B34" s="2" t="s">
        <v>44</v>
      </c>
      <c r="C34" s="0" t="s">
        <v>52</v>
      </c>
    </row>
    <row r="35" customFormat="false" ht="13.8" hidden="false" customHeight="false" outlineLevel="0" collapsed="false">
      <c r="A35" s="0" t="s">
        <v>26</v>
      </c>
      <c r="B35" s="2" t="s">
        <v>46</v>
      </c>
      <c r="C35" s="0" t="n">
        <v>4</v>
      </c>
    </row>
    <row r="36" customFormat="false" ht="13.8" hidden="false" customHeight="false" outlineLevel="0" collapsed="false">
      <c r="A36" s="0" t="s">
        <v>26</v>
      </c>
      <c r="B36" s="2" t="s">
        <v>47</v>
      </c>
      <c r="C36" s="0" t="n">
        <v>2</v>
      </c>
    </row>
    <row r="37" customFormat="false" ht="13.8" hidden="false" customHeight="false" outlineLevel="0" collapsed="false">
      <c r="A37" s="0" t="s">
        <v>26</v>
      </c>
      <c r="B37" s="2" t="s">
        <v>48</v>
      </c>
      <c r="C37" s="0" t="n">
        <v>2</v>
      </c>
    </row>
    <row r="38" customFormat="false" ht="13.8" hidden="false" customHeight="false" outlineLevel="0" collapsed="false">
      <c r="B38" s="2"/>
    </row>
    <row r="39" customFormat="false" ht="13.8" hidden="false" customHeight="false" outlineLevel="0" collapsed="false">
      <c r="A39" s="0" t="s">
        <v>28</v>
      </c>
      <c r="B39" s="2" t="s">
        <v>44</v>
      </c>
      <c r="C39" s="0" t="s">
        <v>53</v>
      </c>
    </row>
    <row r="40" customFormat="false" ht="13.8" hidden="false" customHeight="false" outlineLevel="0" collapsed="false">
      <c r="A40" s="0" t="s">
        <v>28</v>
      </c>
      <c r="B40" s="2" t="s">
        <v>46</v>
      </c>
      <c r="C40" s="0" t="n">
        <v>4</v>
      </c>
    </row>
    <row r="41" customFormat="false" ht="13.8" hidden="false" customHeight="false" outlineLevel="0" collapsed="false">
      <c r="A41" s="0" t="s">
        <v>28</v>
      </c>
      <c r="B41" s="2" t="s">
        <v>47</v>
      </c>
      <c r="C41" s="0" t="n">
        <v>0</v>
      </c>
    </row>
    <row r="42" customFormat="false" ht="13.8" hidden="false" customHeight="false" outlineLevel="0" collapsed="false">
      <c r="A42" s="0" t="s">
        <v>28</v>
      </c>
      <c r="B42" s="2" t="s">
        <v>48</v>
      </c>
      <c r="C42" s="0" t="n">
        <v>4</v>
      </c>
    </row>
    <row r="43" customFormat="false" ht="13.8" hidden="false" customHeight="false" outlineLevel="0" collapsed="false">
      <c r="B43" s="2"/>
    </row>
    <row r="44" customFormat="false" ht="13.8" hidden="false" customHeight="false" outlineLevel="0" collapsed="false">
      <c r="A44" s="0" t="s">
        <v>29</v>
      </c>
      <c r="B44" s="2" t="s">
        <v>44</v>
      </c>
      <c r="C44" s="0" t="s">
        <v>45</v>
      </c>
    </row>
    <row r="45" customFormat="false" ht="13.8" hidden="false" customHeight="false" outlineLevel="0" collapsed="false">
      <c r="A45" s="0" t="s">
        <v>29</v>
      </c>
      <c r="B45" s="2" t="s">
        <v>46</v>
      </c>
      <c r="C45" s="0" t="n">
        <v>4</v>
      </c>
    </row>
    <row r="46" customFormat="false" ht="13.8" hidden="false" customHeight="false" outlineLevel="0" collapsed="false">
      <c r="A46" s="0" t="s">
        <v>29</v>
      </c>
      <c r="B46" s="2" t="s">
        <v>47</v>
      </c>
      <c r="C46" s="0" t="n">
        <v>0</v>
      </c>
    </row>
    <row r="47" customFormat="false" ht="13.8" hidden="false" customHeight="false" outlineLevel="0" collapsed="false">
      <c r="A47" s="0" t="s">
        <v>29</v>
      </c>
      <c r="B47" s="2" t="s">
        <v>48</v>
      </c>
      <c r="C47" s="0" t="n">
        <v>4</v>
      </c>
    </row>
    <row r="48" customFormat="false" ht="13.8" hidden="false" customHeight="false" outlineLevel="0" collapsed="false">
      <c r="B48" s="2"/>
    </row>
    <row r="49" customFormat="false" ht="13.8" hidden="false" customHeight="false" outlineLevel="0" collapsed="false">
      <c r="A49" s="0" t="s">
        <v>30</v>
      </c>
      <c r="B49" s="2" t="s">
        <v>44</v>
      </c>
      <c r="C49" s="0" t="s">
        <v>54</v>
      </c>
    </row>
    <row r="50" customFormat="false" ht="13.8" hidden="false" customHeight="false" outlineLevel="0" collapsed="false">
      <c r="A50" s="0" t="s">
        <v>30</v>
      </c>
      <c r="B50" s="2" t="s">
        <v>46</v>
      </c>
      <c r="C50" s="0" t="n">
        <v>4</v>
      </c>
    </row>
    <row r="51" customFormat="false" ht="13.8" hidden="false" customHeight="false" outlineLevel="0" collapsed="false">
      <c r="A51" s="0" t="s">
        <v>30</v>
      </c>
      <c r="B51" s="2" t="s">
        <v>47</v>
      </c>
      <c r="C51" s="0" t="n">
        <v>0</v>
      </c>
    </row>
    <row r="52" customFormat="false" ht="13.8" hidden="false" customHeight="false" outlineLevel="0" collapsed="false">
      <c r="A52" s="0" t="s">
        <v>30</v>
      </c>
      <c r="B52" s="2" t="s">
        <v>48</v>
      </c>
      <c r="C52" s="0" t="n">
        <v>4</v>
      </c>
    </row>
    <row r="53" customFormat="false" ht="13.8" hidden="false" customHeight="false" outlineLevel="0" collapsed="false">
      <c r="B53" s="2"/>
    </row>
    <row r="54" customFormat="false" ht="13.8" hidden="false" customHeight="false" outlineLevel="0" collapsed="false">
      <c r="A54" s="0" t="s">
        <v>31</v>
      </c>
      <c r="B54" s="2" t="s">
        <v>44</v>
      </c>
      <c r="C54" s="0" t="s">
        <v>45</v>
      </c>
    </row>
    <row r="55" customFormat="false" ht="13.8" hidden="false" customHeight="false" outlineLevel="0" collapsed="false">
      <c r="A55" s="0" t="s">
        <v>31</v>
      </c>
      <c r="B55" s="2" t="s">
        <v>46</v>
      </c>
      <c r="C55" s="0" t="n">
        <v>4</v>
      </c>
    </row>
    <row r="56" customFormat="false" ht="13.8" hidden="false" customHeight="false" outlineLevel="0" collapsed="false">
      <c r="A56" s="0" t="s">
        <v>31</v>
      </c>
      <c r="B56" s="2" t="s">
        <v>47</v>
      </c>
      <c r="C56" s="0" t="n">
        <v>0</v>
      </c>
    </row>
    <row r="57" customFormat="false" ht="13.8" hidden="false" customHeight="false" outlineLevel="0" collapsed="false">
      <c r="A57" s="0" t="s">
        <v>31</v>
      </c>
      <c r="B57" s="2" t="s">
        <v>48</v>
      </c>
      <c r="C57" s="0" t="n">
        <v>4</v>
      </c>
    </row>
    <row r="58" customFormat="false" ht="13.8" hidden="false" customHeight="false" outlineLevel="0" collapsed="false">
      <c r="B58" s="2"/>
    </row>
    <row r="59" customFormat="false" ht="13.8" hidden="false" customHeight="false" outlineLevel="0" collapsed="false">
      <c r="A59" s="0" t="s">
        <v>33</v>
      </c>
      <c r="B59" s="2" t="s">
        <v>44</v>
      </c>
      <c r="C59" s="0" t="s">
        <v>55</v>
      </c>
    </row>
    <row r="60" customFormat="false" ht="13.8" hidden="false" customHeight="false" outlineLevel="0" collapsed="false">
      <c r="A60" s="0" t="s">
        <v>33</v>
      </c>
      <c r="B60" s="2" t="s">
        <v>46</v>
      </c>
      <c r="C60" s="0" t="n">
        <v>4</v>
      </c>
    </row>
    <row r="61" customFormat="false" ht="13.8" hidden="false" customHeight="false" outlineLevel="0" collapsed="false">
      <c r="A61" s="0" t="s">
        <v>33</v>
      </c>
      <c r="B61" s="2" t="s">
        <v>47</v>
      </c>
      <c r="C61" s="0" t="n">
        <v>0</v>
      </c>
    </row>
    <row r="62" customFormat="false" ht="13.8" hidden="false" customHeight="false" outlineLevel="0" collapsed="false">
      <c r="A62" s="0" t="s">
        <v>33</v>
      </c>
      <c r="B62" s="2" t="s">
        <v>48</v>
      </c>
      <c r="C62" s="0" t="n">
        <v>4</v>
      </c>
    </row>
    <row r="63" customFormat="false" ht="13.8" hidden="false" customHeight="false" outlineLevel="0" collapsed="false">
      <c r="B63" s="2"/>
    </row>
    <row r="64" customFormat="false" ht="13.8" hidden="false" customHeight="false" outlineLevel="0" collapsed="false">
      <c r="A64" s="0" t="s">
        <v>34</v>
      </c>
      <c r="B64" s="2" t="s">
        <v>44</v>
      </c>
      <c r="C64" s="0" t="s">
        <v>45</v>
      </c>
    </row>
    <row r="65" customFormat="false" ht="13.8" hidden="false" customHeight="false" outlineLevel="0" collapsed="false">
      <c r="A65" s="0" t="s">
        <v>34</v>
      </c>
      <c r="B65" s="2" t="s">
        <v>46</v>
      </c>
      <c r="C65" s="0" t="n">
        <v>4</v>
      </c>
    </row>
    <row r="66" customFormat="false" ht="13.8" hidden="false" customHeight="false" outlineLevel="0" collapsed="false">
      <c r="A66" s="0" t="s">
        <v>34</v>
      </c>
      <c r="B66" s="2" t="s">
        <v>47</v>
      </c>
      <c r="C66" s="0" t="n">
        <v>0</v>
      </c>
    </row>
    <row r="67" customFormat="false" ht="13.8" hidden="false" customHeight="false" outlineLevel="0" collapsed="false">
      <c r="A67" s="0" t="s">
        <v>34</v>
      </c>
      <c r="B67" s="2" t="s">
        <v>48</v>
      </c>
      <c r="C67" s="0" t="n">
        <v>4</v>
      </c>
    </row>
    <row r="68" customFormat="false" ht="13.8" hidden="false" customHeight="false" outlineLevel="0" collapsed="false">
      <c r="B68" s="2"/>
    </row>
    <row r="69" customFormat="false" ht="13.8" hidden="false" customHeight="false" outlineLevel="0" collapsed="false">
      <c r="A69" s="0" t="s">
        <v>35</v>
      </c>
      <c r="B69" s="2" t="s">
        <v>44</v>
      </c>
      <c r="C69" s="0" t="s">
        <v>56</v>
      </c>
    </row>
    <row r="70" customFormat="false" ht="13.8" hidden="false" customHeight="false" outlineLevel="0" collapsed="false">
      <c r="A70" s="0" t="s">
        <v>35</v>
      </c>
      <c r="B70" s="2" t="s">
        <v>46</v>
      </c>
      <c r="C70" s="0" t="n">
        <v>4</v>
      </c>
    </row>
    <row r="71" customFormat="false" ht="13.8" hidden="false" customHeight="false" outlineLevel="0" collapsed="false">
      <c r="A71" s="0" t="s">
        <v>35</v>
      </c>
      <c r="B71" s="2" t="s">
        <v>47</v>
      </c>
      <c r="C71" s="0" t="n">
        <v>0</v>
      </c>
    </row>
    <row r="72" customFormat="false" ht="13.8" hidden="false" customHeight="false" outlineLevel="0" collapsed="false">
      <c r="A72" s="0" t="s">
        <v>35</v>
      </c>
      <c r="B72" s="2" t="s">
        <v>48</v>
      </c>
      <c r="C72" s="0" t="n">
        <v>4</v>
      </c>
    </row>
    <row r="73" customFormat="false" ht="13.8" hidden="false" customHeight="false" outlineLevel="0" collapsed="false">
      <c r="B73" s="2"/>
    </row>
    <row r="74" customFormat="false" ht="13.8" hidden="false" customHeight="false" outlineLevel="0" collapsed="false">
      <c r="A74" s="0" t="s">
        <v>36</v>
      </c>
      <c r="B74" s="2" t="s">
        <v>44</v>
      </c>
      <c r="C74" s="0" t="s">
        <v>57</v>
      </c>
    </row>
    <row r="75" customFormat="false" ht="13.8" hidden="false" customHeight="false" outlineLevel="0" collapsed="false">
      <c r="A75" s="0" t="s">
        <v>36</v>
      </c>
      <c r="B75" s="2" t="s">
        <v>46</v>
      </c>
      <c r="C75" s="0" t="n">
        <v>4</v>
      </c>
    </row>
    <row r="76" customFormat="false" ht="13.8" hidden="false" customHeight="false" outlineLevel="0" collapsed="false">
      <c r="A76" s="0" t="s">
        <v>36</v>
      </c>
      <c r="B76" s="2" t="s">
        <v>47</v>
      </c>
      <c r="C76" s="0" t="n">
        <v>0</v>
      </c>
    </row>
    <row r="77" customFormat="false" ht="13.8" hidden="false" customHeight="false" outlineLevel="0" collapsed="false">
      <c r="A77" s="0" t="s">
        <v>36</v>
      </c>
      <c r="B77" s="2" t="s">
        <v>48</v>
      </c>
      <c r="C77" s="0" t="n">
        <v>4</v>
      </c>
    </row>
    <row r="78" customFormat="false" ht="13.8" hidden="false" customHeight="false" outlineLevel="0" collapsed="false">
      <c r="B78" s="2"/>
    </row>
    <row r="79" customFormat="false" ht="14.7" hidden="false" customHeight="false" outlineLevel="0" collapsed="false">
      <c r="B79" s="7" t="s">
        <v>46</v>
      </c>
      <c r="C79" s="14" t="n">
        <f aca="false">SUM(C5,C10,C15,C20,C25,C30,C35,C40,C45,C50,C55,C60,C65,C70,C75,)</f>
        <v>60</v>
      </c>
      <c r="E79" s="5" t="s">
        <v>18</v>
      </c>
      <c r="F79" s="5"/>
    </row>
    <row r="80" customFormat="false" ht="13.8" hidden="false" customHeight="false" outlineLevel="0" collapsed="false">
      <c r="B80" s="7" t="s">
        <v>58</v>
      </c>
      <c r="C80" s="14" t="n">
        <f aca="false">SUM(C6,C11,C16,C21,C26,C31,C36,C41,C46,C51,C56,C61,C66,C71,C76)</f>
        <v>6</v>
      </c>
      <c r="E80" s="6" t="s">
        <v>21</v>
      </c>
      <c r="F80" s="6"/>
    </row>
    <row r="81" customFormat="false" ht="13.8" hidden="false" customHeight="false" outlineLevel="0" collapsed="false">
      <c r="B81" s="7" t="s">
        <v>59</v>
      </c>
      <c r="C81" s="14" t="n">
        <f aca="false">C79-C80</f>
        <v>54</v>
      </c>
      <c r="E81" s="0" t="s">
        <v>24</v>
      </c>
      <c r="F81" s="0" t="s">
        <v>25</v>
      </c>
    </row>
    <row r="82" customFormat="false" ht="13.8" hidden="false" customHeight="false" outlineLevel="0" collapsed="false">
      <c r="B82" s="7" t="s">
        <v>60</v>
      </c>
      <c r="C82" s="9" t="n">
        <f aca="false">C81/C79*100</f>
        <v>90</v>
      </c>
      <c r="E82" s="0" t="n">
        <v>12</v>
      </c>
      <c r="F82" s="0" t="n">
        <v>3</v>
      </c>
    </row>
  </sheetData>
  <mergeCells count="1">
    <mergeCell ref="E80:F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C1" colorId="64" zoomScale="81" zoomScaleNormal="81" zoomScalePageLayoutView="100" workbookViewId="0">
      <selection pane="topLeft" activeCell="K12" activeCellId="0" sqref="K12"/>
    </sheetView>
  </sheetViews>
  <sheetFormatPr defaultColWidth="10.5859375" defaultRowHeight="13.8" zeroHeight="false" outlineLevelRow="0" outlineLevelCol="0"/>
  <cols>
    <col collapsed="false" customWidth="true" hidden="false" outlineLevel="0" max="1" min="1" style="0" width="23.45"/>
    <col collapsed="false" customWidth="true" hidden="false" outlineLevel="0" max="2" min="2" style="0" width="179.8"/>
    <col collapsed="false" customWidth="true" hidden="false" outlineLevel="0" max="6" min="3" style="0" width="13.33"/>
    <col collapsed="false" customWidth="true" hidden="false" outlineLevel="0" max="12" min="9" style="0" width="26.9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</row>
    <row r="2" customFormat="false" ht="13.8" hidden="false" customHeight="false" outlineLevel="0" collapsed="false">
      <c r="A2" s="2" t="s">
        <v>62</v>
      </c>
    </row>
    <row r="3" customFormat="false" ht="13.8" hidden="false" customHeight="false" outlineLevel="0" collapsed="false">
      <c r="A3" s="3" t="s">
        <v>6</v>
      </c>
      <c r="B3" s="3" t="s">
        <v>7</v>
      </c>
      <c r="C3" s="3" t="s">
        <v>63</v>
      </c>
      <c r="D3" s="3" t="s">
        <v>64</v>
      </c>
      <c r="E3" s="3" t="s">
        <v>65</v>
      </c>
      <c r="F3" s="3" t="s">
        <v>11</v>
      </c>
    </row>
    <row r="4" customFormat="false" ht="13.8" hidden="false" customHeight="false" outlineLevel="0" collapsed="false">
      <c r="A4" s="4" t="s">
        <v>12</v>
      </c>
      <c r="B4" s="0" t="s">
        <v>66</v>
      </c>
      <c r="C4" s="4" t="n">
        <v>4</v>
      </c>
      <c r="D4" s="4" t="n">
        <v>0</v>
      </c>
      <c r="E4" s="4" t="n">
        <v>4</v>
      </c>
      <c r="F4" s="4" t="n">
        <v>4</v>
      </c>
    </row>
    <row r="5" customFormat="false" ht="14.7" hidden="false" customHeight="false" outlineLevel="0" collapsed="false">
      <c r="A5" s="4" t="s">
        <v>14</v>
      </c>
      <c r="B5" s="0" t="s">
        <v>66</v>
      </c>
      <c r="C5" s="4" t="n">
        <v>4</v>
      </c>
      <c r="D5" s="4" t="n">
        <v>0</v>
      </c>
      <c r="E5" s="4" t="n">
        <v>4</v>
      </c>
      <c r="F5" s="4" t="n">
        <v>4</v>
      </c>
      <c r="I5" s="5" t="s">
        <v>18</v>
      </c>
      <c r="J5" s="5"/>
    </row>
    <row r="6" customFormat="false" ht="13.8" hidden="false" customHeight="false" outlineLevel="0" collapsed="false">
      <c r="A6" s="4" t="s">
        <v>16</v>
      </c>
      <c r="B6" s="0" t="s">
        <v>66</v>
      </c>
      <c r="C6" s="4" t="n">
        <v>4</v>
      </c>
      <c r="D6" s="4" t="n">
        <v>0</v>
      </c>
      <c r="E6" s="4" t="n">
        <v>4</v>
      </c>
      <c r="F6" s="4" t="n">
        <v>4</v>
      </c>
      <c r="I6" s="6" t="s">
        <v>21</v>
      </c>
      <c r="J6" s="6"/>
    </row>
    <row r="7" customFormat="false" ht="13.8" hidden="false" customHeight="false" outlineLevel="0" collapsed="false">
      <c r="A7" s="4" t="s">
        <v>17</v>
      </c>
      <c r="B7" s="0" t="s">
        <v>66</v>
      </c>
      <c r="C7" s="4" t="n">
        <v>4</v>
      </c>
      <c r="D7" s="4" t="n">
        <v>0</v>
      </c>
      <c r="E7" s="4" t="n">
        <v>4</v>
      </c>
      <c r="F7" s="4" t="n">
        <v>4</v>
      </c>
      <c r="I7" s="0" t="s">
        <v>24</v>
      </c>
      <c r="J7" s="0" t="s">
        <v>25</v>
      </c>
    </row>
    <row r="8" customFormat="false" ht="13.8" hidden="false" customHeight="false" outlineLevel="0" collapsed="false">
      <c r="A8" s="4" t="s">
        <v>19</v>
      </c>
      <c r="B8" s="0" t="s">
        <v>66</v>
      </c>
      <c r="C8" s="4" t="n">
        <v>4</v>
      </c>
      <c r="D8" s="4" t="n">
        <v>0</v>
      </c>
      <c r="E8" s="4" t="n">
        <v>4</v>
      </c>
      <c r="F8" s="4" t="n">
        <v>4</v>
      </c>
      <c r="I8" s="0" t="n">
        <v>15</v>
      </c>
      <c r="J8" s="0" t="n">
        <v>0</v>
      </c>
    </row>
    <row r="9" customFormat="false" ht="13.8" hidden="false" customHeight="false" outlineLevel="0" collapsed="false">
      <c r="A9" s="4" t="s">
        <v>22</v>
      </c>
      <c r="B9" s="0" t="s">
        <v>66</v>
      </c>
      <c r="C9" s="4" t="n">
        <v>4</v>
      </c>
      <c r="D9" s="4" t="n">
        <v>0</v>
      </c>
      <c r="E9" s="4" t="n">
        <v>4</v>
      </c>
      <c r="F9" s="4" t="n">
        <v>4</v>
      </c>
    </row>
    <row r="10" customFormat="false" ht="13.8" hidden="false" customHeight="false" outlineLevel="0" collapsed="false">
      <c r="A10" s="4" t="s">
        <v>26</v>
      </c>
      <c r="B10" s="0" t="s">
        <v>66</v>
      </c>
      <c r="C10" s="4" t="n">
        <v>4</v>
      </c>
      <c r="D10" s="4" t="n">
        <v>0</v>
      </c>
      <c r="E10" s="4" t="n">
        <v>4</v>
      </c>
      <c r="F10" s="4" t="n">
        <v>4</v>
      </c>
    </row>
    <row r="11" customFormat="false" ht="13.8" hidden="false" customHeight="false" outlineLevel="0" collapsed="false">
      <c r="A11" s="4" t="s">
        <v>28</v>
      </c>
      <c r="B11" s="0" t="s">
        <v>67</v>
      </c>
      <c r="C11" s="4" t="n">
        <v>4</v>
      </c>
      <c r="D11" s="4" t="n">
        <v>0</v>
      </c>
      <c r="E11" s="4" t="n">
        <v>4</v>
      </c>
      <c r="F11" s="4" t="n">
        <v>4</v>
      </c>
    </row>
    <row r="12" customFormat="false" ht="13.8" hidden="false" customHeight="false" outlineLevel="0" collapsed="false">
      <c r="A12" s="4" t="s">
        <v>29</v>
      </c>
      <c r="B12" s="0" t="s">
        <v>66</v>
      </c>
      <c r="C12" s="4" t="n">
        <v>4</v>
      </c>
      <c r="D12" s="4" t="n">
        <v>0</v>
      </c>
      <c r="E12" s="4" t="n">
        <v>4</v>
      </c>
      <c r="F12" s="4" t="n">
        <v>4</v>
      </c>
      <c r="K12" s="6"/>
      <c r="L12" s="6"/>
    </row>
    <row r="13" customFormat="false" ht="13.8" hidden="false" customHeight="false" outlineLevel="0" collapsed="false">
      <c r="A13" s="4" t="s">
        <v>30</v>
      </c>
      <c r="B13" s="0" t="s">
        <v>66</v>
      </c>
      <c r="C13" s="4" t="n">
        <v>4</v>
      </c>
      <c r="D13" s="4" t="n">
        <v>0</v>
      </c>
      <c r="E13" s="4" t="n">
        <v>4</v>
      </c>
      <c r="F13" s="4" t="n">
        <v>4</v>
      </c>
    </row>
    <row r="14" customFormat="false" ht="13.8" hidden="false" customHeight="false" outlineLevel="0" collapsed="false">
      <c r="A14" s="4" t="s">
        <v>31</v>
      </c>
      <c r="B14" s="0" t="s">
        <v>66</v>
      </c>
      <c r="C14" s="4" t="n">
        <v>4</v>
      </c>
      <c r="D14" s="4" t="n">
        <v>0</v>
      </c>
      <c r="E14" s="4" t="n">
        <v>4</v>
      </c>
      <c r="F14" s="4" t="n">
        <v>4</v>
      </c>
    </row>
    <row r="15" customFormat="false" ht="13.8" hidden="false" customHeight="false" outlineLevel="0" collapsed="false">
      <c r="A15" s="4" t="s">
        <v>33</v>
      </c>
      <c r="B15" s="0" t="s">
        <v>66</v>
      </c>
      <c r="C15" s="4" t="n">
        <v>4</v>
      </c>
      <c r="D15" s="4" t="n">
        <v>0</v>
      </c>
      <c r="E15" s="4" t="n">
        <v>4</v>
      </c>
      <c r="F15" s="4" t="n">
        <v>4</v>
      </c>
    </row>
    <row r="16" customFormat="false" ht="13.8" hidden="false" customHeight="false" outlineLevel="0" collapsed="false">
      <c r="A16" s="4" t="s">
        <v>34</v>
      </c>
      <c r="B16" s="0" t="s">
        <v>66</v>
      </c>
      <c r="C16" s="4" t="n">
        <v>4</v>
      </c>
      <c r="D16" s="4" t="n">
        <v>0</v>
      </c>
      <c r="E16" s="4" t="n">
        <v>4</v>
      </c>
      <c r="F16" s="4" t="n">
        <v>4</v>
      </c>
    </row>
    <row r="17" customFormat="false" ht="13.8" hidden="false" customHeight="false" outlineLevel="0" collapsed="false">
      <c r="A17" s="4" t="s">
        <v>35</v>
      </c>
      <c r="B17" s="0" t="s">
        <v>66</v>
      </c>
      <c r="C17" s="4" t="n">
        <v>4</v>
      </c>
      <c r="D17" s="4" t="n">
        <v>0</v>
      </c>
      <c r="E17" s="4" t="n">
        <v>4</v>
      </c>
      <c r="F17" s="4" t="n">
        <v>4</v>
      </c>
    </row>
    <row r="18" customFormat="false" ht="13.8" hidden="false" customHeight="false" outlineLevel="0" collapsed="false">
      <c r="A18" s="4" t="s">
        <v>36</v>
      </c>
      <c r="B18" s="0" t="s">
        <v>66</v>
      </c>
      <c r="C18" s="4" t="n">
        <v>2</v>
      </c>
      <c r="D18" s="4" t="n">
        <v>0</v>
      </c>
      <c r="E18" s="4" t="n">
        <v>4</v>
      </c>
      <c r="F18" s="4" t="n">
        <v>4</v>
      </c>
    </row>
    <row r="20" customFormat="false" ht="13.8" hidden="false" customHeight="false" outlineLevel="0" collapsed="false">
      <c r="B20" s="7" t="s">
        <v>37</v>
      </c>
      <c r="C20" s="8" t="n">
        <f aca="false">SUM(C4:C18)</f>
        <v>58</v>
      </c>
      <c r="D20" s="8" t="n">
        <f aca="false">SUM(D4:D18)</f>
        <v>0</v>
      </c>
      <c r="E20" s="8" t="n">
        <f aca="false">SUM(E4:E18)</f>
        <v>60</v>
      </c>
      <c r="F20" s="8" t="n">
        <f aca="false">SUM(F4:F18)</f>
        <v>60</v>
      </c>
    </row>
    <row r="21" customFormat="false" ht="13.8" hidden="false" customHeight="false" outlineLevel="0" collapsed="false">
      <c r="B21" s="7" t="s">
        <v>38</v>
      </c>
      <c r="C21" s="9"/>
      <c r="D21" s="9" t="n">
        <f aca="false">D20/C20*100</f>
        <v>0</v>
      </c>
      <c r="E21" s="9" t="n">
        <f aca="false">E20/C20*100</f>
        <v>103.448275862069</v>
      </c>
      <c r="F21" s="9"/>
    </row>
    <row r="24" customFormat="false" ht="13.8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3.8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3.8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3.8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3.8" hidden="false" customHeight="false" outlineLevel="0" collapsed="false">
      <c r="A28" s="11"/>
      <c r="B28" s="11"/>
      <c r="C28" s="11"/>
      <c r="D28" s="11"/>
      <c r="E28" s="11"/>
      <c r="F28" s="11"/>
      <c r="G28" s="10"/>
      <c r="H28" s="10"/>
    </row>
    <row r="29" customFormat="false" ht="13.8" hidden="false" customHeight="false" outlineLevel="0" collapsed="false">
      <c r="A29" s="12"/>
      <c r="B29" s="10"/>
      <c r="C29" s="12"/>
      <c r="D29" s="12"/>
      <c r="E29" s="12"/>
      <c r="F29" s="12"/>
      <c r="G29" s="10"/>
      <c r="H29" s="10"/>
    </row>
    <row r="30" customFormat="false" ht="13.8" hidden="false" customHeight="false" outlineLevel="0" collapsed="false">
      <c r="A30" s="12"/>
      <c r="B30" s="10"/>
      <c r="C30" s="12"/>
      <c r="D30" s="12"/>
      <c r="E30" s="12"/>
      <c r="F30" s="12"/>
      <c r="G30" s="10"/>
      <c r="H30" s="10"/>
    </row>
    <row r="31" customFormat="false" ht="13.8" hidden="false" customHeight="false" outlineLevel="0" collapsed="false">
      <c r="A31" s="12"/>
      <c r="B31" s="10"/>
      <c r="C31" s="12"/>
      <c r="D31" s="12"/>
      <c r="E31" s="12"/>
      <c r="F31" s="12"/>
      <c r="G31" s="10"/>
      <c r="H31" s="10"/>
    </row>
    <row r="32" customFormat="false" ht="13.8" hidden="false" customHeight="false" outlineLevel="0" collapsed="false">
      <c r="A32" s="12"/>
      <c r="B32" s="10"/>
      <c r="C32" s="12"/>
      <c r="D32" s="12"/>
      <c r="E32" s="12"/>
      <c r="F32" s="12"/>
      <c r="G32" s="10"/>
      <c r="H32" s="10"/>
    </row>
    <row r="33" customFormat="false" ht="13.8" hidden="false" customHeight="false" outlineLevel="0" collapsed="false">
      <c r="A33" s="12"/>
      <c r="B33" s="10"/>
      <c r="C33" s="12"/>
      <c r="D33" s="12"/>
      <c r="E33" s="12"/>
      <c r="F33" s="12"/>
      <c r="G33" s="10"/>
      <c r="H33" s="10"/>
    </row>
    <row r="34" customFormat="false" ht="13.8" hidden="false" customHeight="false" outlineLevel="0" collapsed="false">
      <c r="A34" s="12"/>
      <c r="B34" s="10"/>
      <c r="C34" s="12"/>
      <c r="D34" s="12"/>
      <c r="E34" s="12"/>
      <c r="F34" s="12"/>
      <c r="G34" s="10"/>
      <c r="H34" s="10"/>
    </row>
    <row r="35" customFormat="false" ht="13.8" hidden="false" customHeight="false" outlineLevel="0" collapsed="false">
      <c r="A35" s="12"/>
      <c r="B35" s="10"/>
      <c r="C35" s="12"/>
      <c r="D35" s="12"/>
      <c r="E35" s="12"/>
      <c r="F35" s="12"/>
      <c r="G35" s="10"/>
      <c r="H35" s="10"/>
    </row>
    <row r="36" customFormat="false" ht="13.8" hidden="false" customHeight="false" outlineLevel="0" collapsed="false">
      <c r="A36" s="12"/>
      <c r="B36" s="10"/>
      <c r="C36" s="12"/>
      <c r="D36" s="12"/>
      <c r="E36" s="12"/>
      <c r="F36" s="12"/>
      <c r="G36" s="10"/>
      <c r="H36" s="10"/>
    </row>
    <row r="37" customFormat="false" ht="13.8" hidden="false" customHeight="false" outlineLevel="0" collapsed="false">
      <c r="A37" s="12"/>
      <c r="B37" s="10"/>
      <c r="C37" s="12"/>
      <c r="D37" s="12"/>
      <c r="E37" s="12"/>
      <c r="F37" s="12"/>
      <c r="G37" s="10"/>
      <c r="H37" s="10"/>
    </row>
    <row r="38" customFormat="false" ht="13.8" hidden="false" customHeight="false" outlineLevel="0" collapsed="false">
      <c r="A38" s="12"/>
      <c r="B38" s="10"/>
      <c r="C38" s="12"/>
      <c r="D38" s="12"/>
      <c r="E38" s="12"/>
      <c r="F38" s="12"/>
      <c r="G38" s="10"/>
      <c r="H38" s="10"/>
    </row>
    <row r="39" customFormat="false" ht="13.8" hidden="false" customHeight="false" outlineLevel="0" collapsed="false">
      <c r="A39" s="12"/>
      <c r="B39" s="10"/>
      <c r="C39" s="12"/>
      <c r="D39" s="12"/>
      <c r="E39" s="12"/>
      <c r="F39" s="12"/>
      <c r="G39" s="10"/>
      <c r="H39" s="10"/>
    </row>
    <row r="40" customFormat="false" ht="13.8" hidden="false" customHeight="false" outlineLevel="0" collapsed="false">
      <c r="A40" s="12"/>
      <c r="B40" s="10"/>
      <c r="C40" s="12"/>
      <c r="D40" s="12"/>
      <c r="E40" s="12"/>
      <c r="F40" s="12"/>
      <c r="G40" s="10"/>
      <c r="H40" s="10"/>
    </row>
    <row r="41" customFormat="false" ht="13.8" hidden="false" customHeight="false" outlineLevel="0" collapsed="false">
      <c r="A41" s="12"/>
      <c r="B41" s="10"/>
      <c r="C41" s="12"/>
      <c r="D41" s="12"/>
      <c r="E41" s="12"/>
      <c r="F41" s="12"/>
      <c r="G41" s="10"/>
      <c r="H41" s="10"/>
    </row>
    <row r="42" customFormat="false" ht="13.8" hidden="false" customHeight="false" outlineLevel="0" collapsed="false">
      <c r="A42" s="12"/>
      <c r="B42" s="10"/>
      <c r="C42" s="12"/>
      <c r="D42" s="12"/>
      <c r="E42" s="12"/>
      <c r="F42" s="12"/>
      <c r="G42" s="10"/>
      <c r="H42" s="10"/>
    </row>
    <row r="43" customFormat="false" ht="13.8" hidden="false" customHeight="false" outlineLevel="0" collapsed="false">
      <c r="A43" s="12"/>
      <c r="B43" s="10"/>
      <c r="C43" s="12"/>
      <c r="D43" s="12"/>
      <c r="E43" s="12"/>
      <c r="F43" s="12"/>
      <c r="G43" s="10"/>
      <c r="H43" s="10"/>
    </row>
    <row r="44" customFormat="false" ht="13.8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13.8" hidden="false" customHeight="false" outlineLevel="0" collapsed="false">
      <c r="A45" s="10"/>
      <c r="B45" s="11"/>
      <c r="C45" s="13"/>
      <c r="D45" s="13"/>
      <c r="E45" s="13"/>
      <c r="F45" s="13"/>
      <c r="G45" s="10"/>
      <c r="H45" s="10"/>
    </row>
    <row r="46" customFormat="false" ht="13.8" hidden="false" customHeight="false" outlineLevel="0" collapsed="false">
      <c r="A46" s="10"/>
      <c r="B46" s="11"/>
      <c r="C46" s="11"/>
      <c r="D46" s="11"/>
      <c r="E46" s="11"/>
      <c r="F46" s="11"/>
      <c r="G46" s="10"/>
      <c r="H46" s="10"/>
    </row>
    <row r="47" customFormat="false" ht="13.8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</row>
    <row r="48" customFormat="false" ht="13.8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</row>
    <row r="49" customFormat="false" ht="13.8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</row>
    <row r="50" customFormat="false" ht="13.8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13.8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</row>
    <row r="52" customFormat="false" ht="13.8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</row>
    <row r="53" customFormat="false" ht="13.8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</row>
    <row r="54" customFormat="false" ht="13.8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</row>
    <row r="55" customFormat="false" ht="13.8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</row>
    <row r="56" customFormat="false" ht="13.8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</row>
  </sheetData>
  <mergeCells count="2">
    <mergeCell ref="I6:J6"/>
    <mergeCell ref="K12:L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D19" colorId="64" zoomScale="81" zoomScaleNormal="81" zoomScalePageLayoutView="100" workbookViewId="0">
      <selection pane="topLeft" activeCell="C78" activeCellId="0" sqref="C78"/>
    </sheetView>
  </sheetViews>
  <sheetFormatPr defaultColWidth="10.5859375" defaultRowHeight="13.8" zeroHeight="false" outlineLevelRow="0" outlineLevelCol="0"/>
  <cols>
    <col collapsed="false" customWidth="true" hidden="false" outlineLevel="0" max="1" min="1" style="0" width="41.22"/>
    <col collapsed="false" customWidth="true" hidden="false" outlineLevel="0" max="2" min="2" style="0" width="37.88"/>
    <col collapsed="false" customWidth="true" hidden="false" outlineLevel="0" max="3" min="3" style="0" width="80.89"/>
    <col collapsed="false" customWidth="true" hidden="false" outlineLevel="0" max="4" min="4" style="0" width="40.44"/>
    <col collapsed="false" customWidth="true" hidden="false" outlineLevel="0" max="7" min="6" style="0" width="27.09"/>
  </cols>
  <sheetData>
    <row r="1" customFormat="false" ht="13.8" hidden="false" customHeight="false" outlineLevel="0" collapsed="false">
      <c r="A1" s="1" t="s">
        <v>0</v>
      </c>
      <c r="B1" s="1" t="s">
        <v>39</v>
      </c>
      <c r="C1" s="1" t="s">
        <v>40</v>
      </c>
      <c r="D1" s="1" t="s">
        <v>1</v>
      </c>
    </row>
    <row r="2" customFormat="false" ht="13.8" hidden="false" customHeight="false" outlineLevel="0" collapsed="false">
      <c r="A2" s="2" t="s">
        <v>68</v>
      </c>
    </row>
    <row r="3" customFormat="false" ht="13.8" hidden="false" customHeight="false" outlineLevel="0" collapsed="false">
      <c r="A3" s="3" t="s">
        <v>6</v>
      </c>
      <c r="B3" s="3" t="s">
        <v>42</v>
      </c>
      <c r="C3" s="3" t="s">
        <v>43</v>
      </c>
    </row>
    <row r="4" customFormat="false" ht="13.8" hidden="false" customHeight="false" outlineLevel="0" collapsed="false">
      <c r="A4" s="0" t="s">
        <v>12</v>
      </c>
      <c r="B4" s="2" t="s">
        <v>44</v>
      </c>
      <c r="C4" s="0" t="s">
        <v>69</v>
      </c>
    </row>
    <row r="5" customFormat="false" ht="13.8" hidden="false" customHeight="false" outlineLevel="0" collapsed="false">
      <c r="A5" s="0" t="s">
        <v>12</v>
      </c>
      <c r="B5" s="2" t="s">
        <v>46</v>
      </c>
      <c r="C5" s="0" t="n">
        <v>4</v>
      </c>
    </row>
    <row r="6" customFormat="false" ht="13.8" hidden="false" customHeight="false" outlineLevel="0" collapsed="false">
      <c r="A6" s="0" t="s">
        <v>12</v>
      </c>
      <c r="B6" s="2" t="s">
        <v>47</v>
      </c>
      <c r="C6" s="0" t="n">
        <v>0</v>
      </c>
    </row>
    <row r="7" customFormat="false" ht="13.8" hidden="false" customHeight="false" outlineLevel="0" collapsed="false">
      <c r="A7" s="0" t="s">
        <v>12</v>
      </c>
      <c r="B7" s="2" t="s">
        <v>48</v>
      </c>
      <c r="C7" s="0" t="n">
        <v>4</v>
      </c>
    </row>
    <row r="8" customFormat="false" ht="13.8" hidden="false" customHeight="false" outlineLevel="0" collapsed="false">
      <c r="B8" s="2"/>
    </row>
    <row r="9" customFormat="false" ht="13.8" hidden="false" customHeight="false" outlineLevel="0" collapsed="false">
      <c r="A9" s="0" t="s">
        <v>14</v>
      </c>
      <c r="B9" s="2" t="s">
        <v>44</v>
      </c>
      <c r="C9" s="0" t="s">
        <v>69</v>
      </c>
    </row>
    <row r="10" customFormat="false" ht="13.8" hidden="false" customHeight="false" outlineLevel="0" collapsed="false">
      <c r="A10" s="0" t="s">
        <v>14</v>
      </c>
      <c r="B10" s="2" t="s">
        <v>46</v>
      </c>
      <c r="C10" s="0" t="n">
        <v>4</v>
      </c>
    </row>
    <row r="11" customFormat="false" ht="13.8" hidden="false" customHeight="false" outlineLevel="0" collapsed="false">
      <c r="A11" s="0" t="s">
        <v>14</v>
      </c>
      <c r="B11" s="2" t="s">
        <v>47</v>
      </c>
      <c r="C11" s="0" t="n">
        <v>0</v>
      </c>
    </row>
    <row r="12" customFormat="false" ht="13.8" hidden="false" customHeight="false" outlineLevel="0" collapsed="false">
      <c r="A12" s="0" t="s">
        <v>14</v>
      </c>
      <c r="B12" s="2" t="s">
        <v>48</v>
      </c>
      <c r="C12" s="0" t="n">
        <v>4</v>
      </c>
    </row>
    <row r="13" customFormat="false" ht="13.8" hidden="false" customHeight="false" outlineLevel="0" collapsed="false">
      <c r="B13" s="2"/>
    </row>
    <row r="14" customFormat="false" ht="13.8" hidden="false" customHeight="false" outlineLevel="0" collapsed="false">
      <c r="A14" s="0" t="s">
        <v>16</v>
      </c>
      <c r="B14" s="2" t="s">
        <v>44</v>
      </c>
      <c r="C14" s="0" t="s">
        <v>70</v>
      </c>
    </row>
    <row r="15" customFormat="false" ht="13.8" hidden="false" customHeight="false" outlineLevel="0" collapsed="false">
      <c r="A15" s="0" t="s">
        <v>16</v>
      </c>
      <c r="B15" s="2" t="s">
        <v>46</v>
      </c>
      <c r="C15" s="0" t="n">
        <v>4</v>
      </c>
    </row>
    <row r="16" customFormat="false" ht="13.8" hidden="false" customHeight="false" outlineLevel="0" collapsed="false">
      <c r="A16" s="0" t="s">
        <v>16</v>
      </c>
      <c r="B16" s="2" t="s">
        <v>47</v>
      </c>
      <c r="C16" s="0" t="n">
        <v>0</v>
      </c>
    </row>
    <row r="17" customFormat="false" ht="13.8" hidden="false" customHeight="false" outlineLevel="0" collapsed="false">
      <c r="A17" s="0" t="s">
        <v>16</v>
      </c>
      <c r="B17" s="2" t="s">
        <v>48</v>
      </c>
      <c r="C17" s="0" t="n">
        <v>4</v>
      </c>
    </row>
    <row r="18" customFormat="false" ht="13.8" hidden="false" customHeight="false" outlineLevel="0" collapsed="false">
      <c r="B18" s="2"/>
    </row>
    <row r="19" customFormat="false" ht="13.8" hidden="false" customHeight="false" outlineLevel="0" collapsed="false">
      <c r="A19" s="0" t="s">
        <v>17</v>
      </c>
      <c r="B19" s="2" t="s">
        <v>44</v>
      </c>
      <c r="C19" s="0" t="s">
        <v>71</v>
      </c>
    </row>
    <row r="20" customFormat="false" ht="13.8" hidden="false" customHeight="false" outlineLevel="0" collapsed="false">
      <c r="A20" s="0" t="s">
        <v>17</v>
      </c>
      <c r="B20" s="2" t="s">
        <v>46</v>
      </c>
      <c r="C20" s="0" t="n">
        <v>4</v>
      </c>
    </row>
    <row r="21" customFormat="false" ht="13.8" hidden="false" customHeight="false" outlineLevel="0" collapsed="false">
      <c r="A21" s="0" t="s">
        <v>17</v>
      </c>
      <c r="B21" s="2" t="s">
        <v>47</v>
      </c>
      <c r="C21" s="0" t="n">
        <v>0</v>
      </c>
    </row>
    <row r="22" customFormat="false" ht="13.8" hidden="false" customHeight="false" outlineLevel="0" collapsed="false">
      <c r="A22" s="0" t="s">
        <v>17</v>
      </c>
      <c r="B22" s="2" t="s">
        <v>48</v>
      </c>
      <c r="C22" s="0" t="n">
        <v>4</v>
      </c>
    </row>
    <row r="23" customFormat="false" ht="13.8" hidden="false" customHeight="false" outlineLevel="0" collapsed="false">
      <c r="B23" s="2"/>
    </row>
    <row r="24" customFormat="false" ht="13.8" hidden="false" customHeight="false" outlineLevel="0" collapsed="false">
      <c r="A24" s="0" t="s">
        <v>19</v>
      </c>
      <c r="B24" s="2" t="s">
        <v>44</v>
      </c>
      <c r="C24" s="0" t="s">
        <v>70</v>
      </c>
    </row>
    <row r="25" customFormat="false" ht="13.8" hidden="false" customHeight="false" outlineLevel="0" collapsed="false">
      <c r="A25" s="0" t="s">
        <v>19</v>
      </c>
      <c r="B25" s="2" t="s">
        <v>46</v>
      </c>
      <c r="C25" s="0" t="n">
        <v>4</v>
      </c>
    </row>
    <row r="26" customFormat="false" ht="13.8" hidden="false" customHeight="false" outlineLevel="0" collapsed="false">
      <c r="A26" s="0" t="s">
        <v>19</v>
      </c>
      <c r="B26" s="2" t="s">
        <v>47</v>
      </c>
      <c r="C26" s="0" t="n">
        <v>0</v>
      </c>
    </row>
    <row r="27" customFormat="false" ht="13.8" hidden="false" customHeight="false" outlineLevel="0" collapsed="false">
      <c r="A27" s="0" t="s">
        <v>19</v>
      </c>
      <c r="B27" s="2" t="s">
        <v>48</v>
      </c>
      <c r="C27" s="0" t="n">
        <v>4</v>
      </c>
    </row>
    <row r="28" customFormat="false" ht="13.8" hidden="false" customHeight="false" outlineLevel="0" collapsed="false">
      <c r="B28" s="2"/>
    </row>
    <row r="29" customFormat="false" ht="13.8" hidden="false" customHeight="false" outlineLevel="0" collapsed="false">
      <c r="A29" s="0" t="s">
        <v>22</v>
      </c>
      <c r="B29" s="2" t="s">
        <v>44</v>
      </c>
      <c r="C29" s="0" t="s">
        <v>72</v>
      </c>
    </row>
    <row r="30" customFormat="false" ht="13.8" hidden="false" customHeight="false" outlineLevel="0" collapsed="false">
      <c r="A30" s="0" t="s">
        <v>22</v>
      </c>
      <c r="B30" s="2" t="s">
        <v>46</v>
      </c>
      <c r="C30" s="0" t="n">
        <v>4</v>
      </c>
    </row>
    <row r="31" customFormat="false" ht="13.8" hidden="false" customHeight="false" outlineLevel="0" collapsed="false">
      <c r="A31" s="0" t="s">
        <v>22</v>
      </c>
      <c r="B31" s="2" t="s">
        <v>47</v>
      </c>
      <c r="C31" s="0" t="n">
        <v>0</v>
      </c>
    </row>
    <row r="32" customFormat="false" ht="13.8" hidden="false" customHeight="false" outlineLevel="0" collapsed="false">
      <c r="A32" s="0" t="s">
        <v>22</v>
      </c>
      <c r="B32" s="2" t="s">
        <v>48</v>
      </c>
      <c r="C32" s="0" t="n">
        <v>4</v>
      </c>
    </row>
    <row r="33" customFormat="false" ht="13.8" hidden="false" customHeight="false" outlineLevel="0" collapsed="false">
      <c r="B33" s="2"/>
    </row>
    <row r="34" customFormat="false" ht="13.8" hidden="false" customHeight="false" outlineLevel="0" collapsed="false">
      <c r="A34" s="0" t="s">
        <v>26</v>
      </c>
      <c r="B34" s="2" t="s">
        <v>44</v>
      </c>
      <c r="C34" s="0" t="s">
        <v>70</v>
      </c>
    </row>
    <row r="35" customFormat="false" ht="13.8" hidden="false" customHeight="false" outlineLevel="0" collapsed="false">
      <c r="A35" s="0" t="s">
        <v>26</v>
      </c>
      <c r="B35" s="2" t="s">
        <v>46</v>
      </c>
      <c r="C35" s="0" t="n">
        <v>4</v>
      </c>
    </row>
    <row r="36" customFormat="false" ht="13.8" hidden="false" customHeight="false" outlineLevel="0" collapsed="false">
      <c r="A36" s="0" t="s">
        <v>26</v>
      </c>
      <c r="B36" s="2" t="s">
        <v>47</v>
      </c>
      <c r="C36" s="0" t="n">
        <v>0</v>
      </c>
    </row>
    <row r="37" customFormat="false" ht="13.8" hidden="false" customHeight="false" outlineLevel="0" collapsed="false">
      <c r="A37" s="0" t="s">
        <v>26</v>
      </c>
      <c r="B37" s="2" t="s">
        <v>48</v>
      </c>
      <c r="C37" s="0" t="n">
        <v>4</v>
      </c>
    </row>
    <row r="38" customFormat="false" ht="13.8" hidden="false" customHeight="false" outlineLevel="0" collapsed="false">
      <c r="B38" s="2"/>
    </row>
    <row r="39" customFormat="false" ht="13.8" hidden="false" customHeight="false" outlineLevel="0" collapsed="false">
      <c r="A39" s="0" t="s">
        <v>28</v>
      </c>
      <c r="B39" s="2" t="s">
        <v>44</v>
      </c>
      <c r="C39" s="0" t="s">
        <v>70</v>
      </c>
    </row>
    <row r="40" customFormat="false" ht="13.8" hidden="false" customHeight="false" outlineLevel="0" collapsed="false">
      <c r="A40" s="0" t="s">
        <v>28</v>
      </c>
      <c r="B40" s="2" t="s">
        <v>46</v>
      </c>
      <c r="C40" s="0" t="n">
        <v>4</v>
      </c>
    </row>
    <row r="41" customFormat="false" ht="13.8" hidden="false" customHeight="false" outlineLevel="0" collapsed="false">
      <c r="A41" s="0" t="s">
        <v>28</v>
      </c>
      <c r="B41" s="2" t="s">
        <v>47</v>
      </c>
      <c r="C41" s="0" t="n">
        <v>0</v>
      </c>
    </row>
    <row r="42" customFormat="false" ht="13.8" hidden="false" customHeight="false" outlineLevel="0" collapsed="false">
      <c r="A42" s="0" t="s">
        <v>28</v>
      </c>
      <c r="B42" s="2" t="s">
        <v>48</v>
      </c>
      <c r="C42" s="0" t="n">
        <v>4</v>
      </c>
    </row>
    <row r="43" customFormat="false" ht="13.8" hidden="false" customHeight="false" outlineLevel="0" collapsed="false">
      <c r="B43" s="2"/>
    </row>
    <row r="44" customFormat="false" ht="13.8" hidden="false" customHeight="false" outlineLevel="0" collapsed="false">
      <c r="A44" s="0" t="s">
        <v>29</v>
      </c>
      <c r="B44" s="2" t="s">
        <v>44</v>
      </c>
      <c r="C44" s="0" t="s">
        <v>69</v>
      </c>
    </row>
    <row r="45" customFormat="false" ht="13.8" hidden="false" customHeight="false" outlineLevel="0" collapsed="false">
      <c r="A45" s="0" t="s">
        <v>29</v>
      </c>
      <c r="B45" s="2" t="s">
        <v>46</v>
      </c>
      <c r="C45" s="0" t="n">
        <v>4</v>
      </c>
    </row>
    <row r="46" customFormat="false" ht="13.8" hidden="false" customHeight="false" outlineLevel="0" collapsed="false">
      <c r="A46" s="0" t="s">
        <v>29</v>
      </c>
      <c r="B46" s="2" t="s">
        <v>47</v>
      </c>
      <c r="C46" s="0" t="n">
        <v>0</v>
      </c>
    </row>
    <row r="47" customFormat="false" ht="13.8" hidden="false" customHeight="false" outlineLevel="0" collapsed="false">
      <c r="A47" s="0" t="s">
        <v>29</v>
      </c>
      <c r="B47" s="2" t="s">
        <v>48</v>
      </c>
      <c r="C47" s="0" t="n">
        <v>4</v>
      </c>
    </row>
    <row r="48" customFormat="false" ht="13.8" hidden="false" customHeight="false" outlineLevel="0" collapsed="false">
      <c r="B48" s="2"/>
    </row>
    <row r="49" customFormat="false" ht="13.8" hidden="false" customHeight="false" outlineLevel="0" collapsed="false">
      <c r="A49" s="0" t="s">
        <v>30</v>
      </c>
      <c r="B49" s="2" t="s">
        <v>44</v>
      </c>
      <c r="C49" s="0" t="s">
        <v>69</v>
      </c>
    </row>
    <row r="50" customFormat="false" ht="13.8" hidden="false" customHeight="false" outlineLevel="0" collapsed="false">
      <c r="A50" s="0" t="s">
        <v>30</v>
      </c>
      <c r="B50" s="2" t="s">
        <v>46</v>
      </c>
      <c r="C50" s="0" t="n">
        <v>4</v>
      </c>
    </row>
    <row r="51" customFormat="false" ht="13.8" hidden="false" customHeight="false" outlineLevel="0" collapsed="false">
      <c r="A51" s="0" t="s">
        <v>30</v>
      </c>
      <c r="B51" s="2" t="s">
        <v>47</v>
      </c>
      <c r="C51" s="0" t="n">
        <v>0</v>
      </c>
    </row>
    <row r="52" customFormat="false" ht="13.8" hidden="false" customHeight="false" outlineLevel="0" collapsed="false">
      <c r="A52" s="0" t="s">
        <v>30</v>
      </c>
      <c r="B52" s="2" t="s">
        <v>48</v>
      </c>
      <c r="C52" s="0" t="n">
        <v>4</v>
      </c>
    </row>
    <row r="53" customFormat="false" ht="13.8" hidden="false" customHeight="false" outlineLevel="0" collapsed="false">
      <c r="B53" s="2"/>
    </row>
    <row r="54" customFormat="false" ht="13.8" hidden="false" customHeight="false" outlineLevel="0" collapsed="false">
      <c r="A54" s="0" t="s">
        <v>31</v>
      </c>
      <c r="B54" s="2" t="s">
        <v>44</v>
      </c>
      <c r="C54" s="0" t="s">
        <v>73</v>
      </c>
    </row>
    <row r="55" customFormat="false" ht="13.8" hidden="false" customHeight="false" outlineLevel="0" collapsed="false">
      <c r="A55" s="0" t="s">
        <v>31</v>
      </c>
      <c r="B55" s="2" t="s">
        <v>46</v>
      </c>
      <c r="C55" s="0" t="n">
        <v>4</v>
      </c>
    </row>
    <row r="56" customFormat="false" ht="13.8" hidden="false" customHeight="false" outlineLevel="0" collapsed="false">
      <c r="A56" s="0" t="s">
        <v>31</v>
      </c>
      <c r="B56" s="2" t="s">
        <v>47</v>
      </c>
      <c r="C56" s="0" t="n">
        <v>0</v>
      </c>
    </row>
    <row r="57" customFormat="false" ht="13.8" hidden="false" customHeight="false" outlineLevel="0" collapsed="false">
      <c r="A57" s="0" t="s">
        <v>31</v>
      </c>
      <c r="B57" s="2" t="s">
        <v>48</v>
      </c>
      <c r="C57" s="0" t="n">
        <v>4</v>
      </c>
    </row>
    <row r="58" customFormat="false" ht="13.8" hidden="false" customHeight="false" outlineLevel="0" collapsed="false">
      <c r="B58" s="2"/>
    </row>
    <row r="59" customFormat="false" ht="13.8" hidden="false" customHeight="false" outlineLevel="0" collapsed="false">
      <c r="A59" s="0" t="s">
        <v>33</v>
      </c>
      <c r="B59" s="2" t="s">
        <v>44</v>
      </c>
      <c r="C59" s="0" t="s">
        <v>69</v>
      </c>
    </row>
    <row r="60" customFormat="false" ht="13.8" hidden="false" customHeight="false" outlineLevel="0" collapsed="false">
      <c r="A60" s="0" t="s">
        <v>33</v>
      </c>
      <c r="B60" s="2" t="s">
        <v>46</v>
      </c>
      <c r="C60" s="0" t="n">
        <v>4</v>
      </c>
    </row>
    <row r="61" customFormat="false" ht="13.8" hidden="false" customHeight="false" outlineLevel="0" collapsed="false">
      <c r="A61" s="0" t="s">
        <v>33</v>
      </c>
      <c r="B61" s="2" t="s">
        <v>47</v>
      </c>
      <c r="C61" s="0" t="n">
        <v>0</v>
      </c>
    </row>
    <row r="62" customFormat="false" ht="13.8" hidden="false" customHeight="false" outlineLevel="0" collapsed="false">
      <c r="A62" s="0" t="s">
        <v>33</v>
      </c>
      <c r="B62" s="2" t="s">
        <v>48</v>
      </c>
      <c r="C62" s="0" t="n">
        <v>4</v>
      </c>
    </row>
    <row r="63" customFormat="false" ht="13.8" hidden="false" customHeight="false" outlineLevel="0" collapsed="false">
      <c r="B63" s="2"/>
    </row>
    <row r="64" customFormat="false" ht="13.8" hidden="false" customHeight="false" outlineLevel="0" collapsed="false">
      <c r="A64" s="0" t="s">
        <v>34</v>
      </c>
      <c r="B64" s="2" t="s">
        <v>44</v>
      </c>
      <c r="C64" s="0" t="s">
        <v>74</v>
      </c>
    </row>
    <row r="65" customFormat="false" ht="13.8" hidden="false" customHeight="false" outlineLevel="0" collapsed="false">
      <c r="A65" s="0" t="s">
        <v>34</v>
      </c>
      <c r="B65" s="2" t="s">
        <v>46</v>
      </c>
      <c r="C65" s="0" t="n">
        <v>4</v>
      </c>
    </row>
    <row r="66" customFormat="false" ht="13.8" hidden="false" customHeight="false" outlineLevel="0" collapsed="false">
      <c r="A66" s="0" t="s">
        <v>34</v>
      </c>
      <c r="B66" s="2" t="s">
        <v>47</v>
      </c>
      <c r="C66" s="0" t="n">
        <v>0</v>
      </c>
    </row>
    <row r="67" customFormat="false" ht="13.8" hidden="false" customHeight="false" outlineLevel="0" collapsed="false">
      <c r="A67" s="0" t="s">
        <v>34</v>
      </c>
      <c r="B67" s="2" t="s">
        <v>48</v>
      </c>
      <c r="C67" s="0" t="n">
        <v>4</v>
      </c>
    </row>
    <row r="68" customFormat="false" ht="13.8" hidden="false" customHeight="false" outlineLevel="0" collapsed="false">
      <c r="B68" s="2"/>
    </row>
    <row r="69" customFormat="false" ht="13.8" hidden="false" customHeight="false" outlineLevel="0" collapsed="false">
      <c r="A69" s="0" t="s">
        <v>35</v>
      </c>
      <c r="B69" s="2" t="s">
        <v>44</v>
      </c>
      <c r="C69" s="0" t="s">
        <v>75</v>
      </c>
    </row>
    <row r="70" customFormat="false" ht="13.8" hidden="false" customHeight="false" outlineLevel="0" collapsed="false">
      <c r="A70" s="0" t="s">
        <v>35</v>
      </c>
      <c r="B70" s="2" t="s">
        <v>46</v>
      </c>
      <c r="C70" s="0" t="n">
        <v>4</v>
      </c>
    </row>
    <row r="71" customFormat="false" ht="13.8" hidden="false" customHeight="false" outlineLevel="0" collapsed="false">
      <c r="A71" s="0" t="s">
        <v>35</v>
      </c>
      <c r="B71" s="2" t="s">
        <v>47</v>
      </c>
      <c r="C71" s="0" t="n">
        <v>0</v>
      </c>
    </row>
    <row r="72" customFormat="false" ht="13.8" hidden="false" customHeight="false" outlineLevel="0" collapsed="false">
      <c r="A72" s="0" t="s">
        <v>35</v>
      </c>
      <c r="B72" s="2" t="s">
        <v>48</v>
      </c>
      <c r="C72" s="0" t="n">
        <v>4</v>
      </c>
    </row>
    <row r="73" customFormat="false" ht="13.8" hidden="false" customHeight="false" outlineLevel="0" collapsed="false">
      <c r="B73" s="2"/>
    </row>
    <row r="74" customFormat="false" ht="13.8" hidden="false" customHeight="false" outlineLevel="0" collapsed="false">
      <c r="A74" s="0" t="s">
        <v>36</v>
      </c>
      <c r="B74" s="2" t="s">
        <v>44</v>
      </c>
      <c r="C74" s="0" t="s">
        <v>70</v>
      </c>
    </row>
    <row r="75" customFormat="false" ht="13.8" hidden="false" customHeight="false" outlineLevel="0" collapsed="false">
      <c r="A75" s="0" t="s">
        <v>36</v>
      </c>
      <c r="B75" s="2" t="s">
        <v>46</v>
      </c>
      <c r="C75" s="0" t="n">
        <v>4</v>
      </c>
    </row>
    <row r="76" customFormat="false" ht="13.8" hidden="false" customHeight="false" outlineLevel="0" collapsed="false">
      <c r="A76" s="0" t="s">
        <v>36</v>
      </c>
      <c r="B76" s="2" t="s">
        <v>47</v>
      </c>
      <c r="C76" s="0" t="n">
        <v>0</v>
      </c>
    </row>
    <row r="77" customFormat="false" ht="13.8" hidden="false" customHeight="false" outlineLevel="0" collapsed="false">
      <c r="A77" s="0" t="s">
        <v>36</v>
      </c>
      <c r="B77" s="2" t="s">
        <v>48</v>
      </c>
      <c r="C77" s="0" t="n">
        <v>4</v>
      </c>
    </row>
    <row r="78" customFormat="false" ht="13.8" hidden="false" customHeight="false" outlineLevel="0" collapsed="false">
      <c r="B78" s="2"/>
    </row>
    <row r="79" customFormat="false" ht="14.7" hidden="false" customHeight="false" outlineLevel="0" collapsed="false">
      <c r="B79" s="7" t="s">
        <v>46</v>
      </c>
      <c r="C79" s="14" t="n">
        <f aca="false">SUM(C5,C10,C20,C25,C30,C35,C40,C45,C50,C55,C60,C65,C70,C75,C15)</f>
        <v>60</v>
      </c>
      <c r="F79" s="5" t="s">
        <v>18</v>
      </c>
      <c r="G79" s="5"/>
    </row>
    <row r="80" customFormat="false" ht="13.8" hidden="false" customHeight="false" outlineLevel="0" collapsed="false">
      <c r="B80" s="7" t="s">
        <v>58</v>
      </c>
      <c r="C80" s="14" t="n">
        <f aca="false">SUM(C76,C66,C61,C51,C41,C31,C21,C11,C6,C16)</f>
        <v>0</v>
      </c>
      <c r="F80" s="6" t="s">
        <v>21</v>
      </c>
      <c r="G80" s="6"/>
    </row>
    <row r="81" customFormat="false" ht="13.8" hidden="false" customHeight="false" outlineLevel="0" collapsed="false">
      <c r="B81" s="7" t="s">
        <v>59</v>
      </c>
      <c r="C81" s="14" t="n">
        <f aca="false">C79-C80</f>
        <v>60</v>
      </c>
      <c r="F81" s="0" t="s">
        <v>24</v>
      </c>
      <c r="G81" s="0" t="s">
        <v>25</v>
      </c>
    </row>
    <row r="82" customFormat="false" ht="13.8" hidden="false" customHeight="false" outlineLevel="0" collapsed="false">
      <c r="B82" s="7" t="s">
        <v>60</v>
      </c>
      <c r="C82" s="9" t="n">
        <f aca="false">C81/C79*100</f>
        <v>100</v>
      </c>
      <c r="F82" s="0" t="n">
        <v>15</v>
      </c>
      <c r="G82" s="0" t="n">
        <v>0</v>
      </c>
    </row>
  </sheetData>
  <mergeCells count="1">
    <mergeCell ref="F80:G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D1" colorId="64" zoomScale="81" zoomScaleNormal="81" zoomScalePageLayoutView="100" workbookViewId="0">
      <selection pane="topLeft" activeCell="K25" activeCellId="0" sqref="K25"/>
    </sheetView>
  </sheetViews>
  <sheetFormatPr defaultColWidth="10.5859375" defaultRowHeight="13.8" zeroHeight="false" outlineLevelRow="0" outlineLevelCol="0"/>
  <cols>
    <col collapsed="false" customWidth="true" hidden="false" outlineLevel="0" max="1" min="1" style="0" width="20.89"/>
    <col collapsed="false" customWidth="true" hidden="false" outlineLevel="0" max="2" min="2" style="0" width="179.13"/>
    <col collapsed="false" customWidth="true" hidden="false" outlineLevel="0" max="6" min="3" style="0" width="21.77"/>
    <col collapsed="false" customWidth="true" hidden="false" outlineLevel="0" max="13" min="10" style="0" width="26.9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3</v>
      </c>
    </row>
    <row r="2" customFormat="false" ht="13.8" hidden="false" customHeight="false" outlineLevel="0" collapsed="false">
      <c r="A2" s="2" t="s">
        <v>76</v>
      </c>
    </row>
    <row r="4" customFormat="false" ht="13.8" hidden="false" customHeight="false" outlineLevel="0" collapsed="false">
      <c r="A4" s="3" t="s">
        <v>6</v>
      </c>
      <c r="B4" s="3" t="s">
        <v>7</v>
      </c>
      <c r="C4" s="3" t="s">
        <v>77</v>
      </c>
      <c r="D4" s="3" t="s">
        <v>9</v>
      </c>
      <c r="E4" s="3" t="s">
        <v>10</v>
      </c>
      <c r="F4" s="3" t="s">
        <v>11</v>
      </c>
    </row>
    <row r="5" customFormat="false" ht="13.8" hidden="false" customHeight="false" outlineLevel="0" collapsed="false">
      <c r="A5" s="4" t="s">
        <v>12</v>
      </c>
      <c r="B5" s="0" t="s">
        <v>78</v>
      </c>
      <c r="C5" s="4" t="n">
        <v>6</v>
      </c>
      <c r="D5" s="4" t="n">
        <v>0</v>
      </c>
      <c r="E5" s="4" t="n">
        <v>6</v>
      </c>
      <c r="F5" s="4" t="n">
        <v>6</v>
      </c>
    </row>
    <row r="6" customFormat="false" ht="14.7" hidden="false" customHeight="false" outlineLevel="0" collapsed="false">
      <c r="A6" s="4" t="s">
        <v>14</v>
      </c>
      <c r="B6" s="0" t="s">
        <v>78</v>
      </c>
      <c r="C6" s="4" t="n">
        <v>6</v>
      </c>
      <c r="D6" s="4" t="n">
        <v>0</v>
      </c>
      <c r="E6" s="4" t="n">
        <v>6</v>
      </c>
      <c r="F6" s="4" t="n">
        <v>6</v>
      </c>
      <c r="J6" s="5" t="s">
        <v>18</v>
      </c>
      <c r="K6" s="5"/>
    </row>
    <row r="7" customFormat="false" ht="13.8" hidden="false" customHeight="false" outlineLevel="0" collapsed="false">
      <c r="A7" s="4" t="s">
        <v>16</v>
      </c>
      <c r="B7" s="0" t="s">
        <v>78</v>
      </c>
      <c r="C7" s="4" t="n">
        <v>6</v>
      </c>
      <c r="D7" s="4" t="n">
        <v>0</v>
      </c>
      <c r="E7" s="4" t="n">
        <v>6</v>
      </c>
      <c r="F7" s="4" t="n">
        <v>6</v>
      </c>
      <c r="J7" s="6" t="s">
        <v>21</v>
      </c>
      <c r="K7" s="6"/>
      <c r="L7" s="6"/>
      <c r="M7" s="6"/>
    </row>
    <row r="8" customFormat="false" ht="13.8" hidden="false" customHeight="false" outlineLevel="0" collapsed="false">
      <c r="A8" s="4" t="s">
        <v>17</v>
      </c>
      <c r="B8" s="0" t="s">
        <v>78</v>
      </c>
      <c r="C8" s="4" t="n">
        <v>6</v>
      </c>
      <c r="D8" s="4" t="n">
        <v>0</v>
      </c>
      <c r="E8" s="4" t="n">
        <v>6</v>
      </c>
      <c r="F8" s="4" t="n">
        <v>6</v>
      </c>
      <c r="J8" s="0" t="s">
        <v>24</v>
      </c>
      <c r="K8" s="0" t="s">
        <v>25</v>
      </c>
    </row>
    <row r="9" customFormat="false" ht="13.8" hidden="false" customHeight="false" outlineLevel="0" collapsed="false">
      <c r="A9" s="4" t="s">
        <v>19</v>
      </c>
      <c r="B9" s="0" t="s">
        <v>78</v>
      </c>
      <c r="C9" s="4" t="n">
        <v>6</v>
      </c>
      <c r="D9" s="4" t="n">
        <v>0</v>
      </c>
      <c r="E9" s="4" t="n">
        <v>6</v>
      </c>
      <c r="F9" s="4" t="n">
        <v>6</v>
      </c>
      <c r="J9" s="0" t="n">
        <v>15</v>
      </c>
      <c r="K9" s="0" t="n">
        <v>0</v>
      </c>
    </row>
    <row r="10" customFormat="false" ht="13.8" hidden="false" customHeight="false" outlineLevel="0" collapsed="false">
      <c r="A10" s="4" t="s">
        <v>22</v>
      </c>
      <c r="B10" s="0" t="s">
        <v>78</v>
      </c>
      <c r="C10" s="4" t="n">
        <v>6</v>
      </c>
      <c r="D10" s="4" t="n">
        <v>0</v>
      </c>
      <c r="E10" s="4" t="n">
        <v>6</v>
      </c>
      <c r="F10" s="4" t="n">
        <v>6</v>
      </c>
    </row>
    <row r="11" customFormat="false" ht="13.8" hidden="false" customHeight="false" outlineLevel="0" collapsed="false">
      <c r="A11" s="4" t="s">
        <v>26</v>
      </c>
      <c r="B11" s="0" t="s">
        <v>78</v>
      </c>
      <c r="C11" s="4" t="n">
        <v>6</v>
      </c>
      <c r="D11" s="4" t="n">
        <v>0</v>
      </c>
      <c r="E11" s="4" t="n">
        <v>6</v>
      </c>
      <c r="F11" s="4" t="n">
        <v>6</v>
      </c>
    </row>
    <row r="12" customFormat="false" ht="13.8" hidden="false" customHeight="false" outlineLevel="0" collapsed="false">
      <c r="A12" s="4" t="s">
        <v>28</v>
      </c>
      <c r="B12" s="0" t="s">
        <v>78</v>
      </c>
      <c r="C12" s="4" t="n">
        <v>6</v>
      </c>
      <c r="D12" s="4" t="n">
        <v>0</v>
      </c>
      <c r="E12" s="4" t="n">
        <v>6</v>
      </c>
      <c r="F12" s="4" t="n">
        <v>6</v>
      </c>
    </row>
    <row r="13" customFormat="false" ht="13.8" hidden="false" customHeight="false" outlineLevel="0" collapsed="false">
      <c r="A13" s="4" t="s">
        <v>29</v>
      </c>
      <c r="B13" s="0" t="s">
        <v>78</v>
      </c>
      <c r="C13" s="4" t="n">
        <v>6</v>
      </c>
      <c r="D13" s="4" t="n">
        <v>0</v>
      </c>
      <c r="E13" s="4" t="n">
        <v>6</v>
      </c>
      <c r="F13" s="4" t="n">
        <v>6</v>
      </c>
    </row>
    <row r="14" customFormat="false" ht="13.8" hidden="false" customHeight="false" outlineLevel="0" collapsed="false">
      <c r="A14" s="4" t="s">
        <v>30</v>
      </c>
      <c r="B14" s="0" t="s">
        <v>78</v>
      </c>
      <c r="C14" s="4" t="n">
        <v>6</v>
      </c>
      <c r="D14" s="4" t="n">
        <v>0</v>
      </c>
      <c r="E14" s="4" t="n">
        <v>6</v>
      </c>
      <c r="F14" s="4" t="n">
        <v>6</v>
      </c>
    </row>
    <row r="15" customFormat="false" ht="13.8" hidden="false" customHeight="false" outlineLevel="0" collapsed="false">
      <c r="A15" s="4" t="s">
        <v>31</v>
      </c>
      <c r="B15" s="0" t="s">
        <v>78</v>
      </c>
      <c r="C15" s="4" t="n">
        <v>6</v>
      </c>
      <c r="D15" s="4" t="n">
        <v>0</v>
      </c>
      <c r="E15" s="4" t="n">
        <v>6</v>
      </c>
      <c r="F15" s="4" t="n">
        <v>6</v>
      </c>
    </row>
    <row r="16" customFormat="false" ht="13.8" hidden="false" customHeight="false" outlineLevel="0" collapsed="false">
      <c r="A16" s="4" t="s">
        <v>33</v>
      </c>
      <c r="B16" s="0" t="s">
        <v>78</v>
      </c>
      <c r="C16" s="4" t="n">
        <v>6</v>
      </c>
      <c r="D16" s="4" t="n">
        <v>0</v>
      </c>
      <c r="E16" s="4" t="n">
        <v>6</v>
      </c>
      <c r="F16" s="4" t="n">
        <v>6</v>
      </c>
    </row>
    <row r="17" customFormat="false" ht="13.8" hidden="false" customHeight="false" outlineLevel="0" collapsed="false">
      <c r="A17" s="4" t="s">
        <v>34</v>
      </c>
      <c r="B17" s="0" t="s">
        <v>78</v>
      </c>
      <c r="C17" s="4" t="n">
        <v>6</v>
      </c>
      <c r="D17" s="4" t="n">
        <v>0</v>
      </c>
      <c r="E17" s="4" t="n">
        <v>6</v>
      </c>
      <c r="F17" s="4" t="n">
        <v>6</v>
      </c>
    </row>
    <row r="18" customFormat="false" ht="13.8" hidden="false" customHeight="false" outlineLevel="0" collapsed="false">
      <c r="A18" s="4" t="s">
        <v>35</v>
      </c>
      <c r="B18" s="0" t="s">
        <v>78</v>
      </c>
      <c r="C18" s="4" t="n">
        <v>6</v>
      </c>
      <c r="D18" s="4" t="n">
        <v>0</v>
      </c>
      <c r="E18" s="4" t="n">
        <v>6</v>
      </c>
      <c r="F18" s="4" t="n">
        <v>6</v>
      </c>
    </row>
    <row r="19" customFormat="false" ht="13.8" hidden="false" customHeight="false" outlineLevel="0" collapsed="false">
      <c r="A19" s="4" t="s">
        <v>36</v>
      </c>
      <c r="B19" s="0" t="s">
        <v>78</v>
      </c>
      <c r="C19" s="4" t="n">
        <v>6</v>
      </c>
      <c r="D19" s="4" t="n">
        <v>0</v>
      </c>
      <c r="E19" s="4" t="n">
        <v>6</v>
      </c>
      <c r="F19" s="4" t="n">
        <v>6</v>
      </c>
    </row>
    <row r="21" customFormat="false" ht="13.8" hidden="false" customHeight="false" outlineLevel="0" collapsed="false">
      <c r="B21" s="7" t="s">
        <v>37</v>
      </c>
      <c r="C21" s="8" t="n">
        <f aca="false">SUM(C5:C19)</f>
        <v>90</v>
      </c>
      <c r="D21" s="8" t="n">
        <f aca="false">SUM(D5:D19)</f>
        <v>0</v>
      </c>
      <c r="E21" s="8" t="n">
        <f aca="false">SUM(E5:E19)</f>
        <v>90</v>
      </c>
      <c r="F21" s="8" t="n">
        <f aca="false">SUM(F5:F19)</f>
        <v>90</v>
      </c>
    </row>
    <row r="22" customFormat="false" ht="13.8" hidden="false" customHeight="false" outlineLevel="0" collapsed="false">
      <c r="B22" s="7" t="s">
        <v>38</v>
      </c>
      <c r="C22" s="9"/>
      <c r="D22" s="9" t="n">
        <f aca="false">D21/C21*100</f>
        <v>0</v>
      </c>
      <c r="E22" s="9" t="n">
        <f aca="false">E21/C21*100</f>
        <v>100</v>
      </c>
      <c r="F22" s="9"/>
    </row>
    <row r="27" customFormat="false" ht="13.8" hidden="false" customHeight="false" outlineLevel="0" collapsed="false">
      <c r="A27" s="10"/>
      <c r="B27" s="10"/>
      <c r="C27" s="10"/>
      <c r="D27" s="10"/>
      <c r="E27" s="10"/>
      <c r="F27" s="10"/>
      <c r="G27" s="10"/>
    </row>
    <row r="28" customFormat="false" ht="13.8" hidden="false" customHeight="false" outlineLevel="0" collapsed="false">
      <c r="A28" s="10"/>
      <c r="B28" s="10"/>
      <c r="C28" s="10"/>
      <c r="D28" s="10"/>
      <c r="E28" s="10"/>
      <c r="F28" s="10"/>
      <c r="G28" s="10"/>
    </row>
    <row r="29" customFormat="false" ht="13.8" hidden="false" customHeight="false" outlineLevel="0" collapsed="false">
      <c r="A29" s="11"/>
      <c r="B29" s="11"/>
      <c r="C29" s="11"/>
      <c r="D29" s="11"/>
      <c r="E29" s="11"/>
      <c r="F29" s="11"/>
      <c r="G29" s="10"/>
    </row>
    <row r="30" customFormat="false" ht="13.8" hidden="false" customHeight="false" outlineLevel="0" collapsed="false">
      <c r="A30" s="12"/>
      <c r="B30" s="10"/>
      <c r="C30" s="12"/>
      <c r="D30" s="12"/>
      <c r="E30" s="12"/>
      <c r="F30" s="12"/>
      <c r="G30" s="10"/>
    </row>
    <row r="31" customFormat="false" ht="13.8" hidden="false" customHeight="false" outlineLevel="0" collapsed="false">
      <c r="A31" s="12"/>
      <c r="B31" s="10"/>
      <c r="C31" s="12"/>
      <c r="D31" s="12"/>
      <c r="E31" s="12"/>
      <c r="F31" s="12"/>
      <c r="G31" s="10"/>
    </row>
    <row r="32" customFormat="false" ht="13.8" hidden="false" customHeight="false" outlineLevel="0" collapsed="false">
      <c r="A32" s="12"/>
      <c r="B32" s="10"/>
      <c r="C32" s="12"/>
      <c r="D32" s="12"/>
      <c r="E32" s="12"/>
      <c r="F32" s="12"/>
      <c r="G32" s="10"/>
    </row>
    <row r="33" customFormat="false" ht="13.8" hidden="false" customHeight="false" outlineLevel="0" collapsed="false">
      <c r="A33" s="12"/>
      <c r="B33" s="10"/>
      <c r="C33" s="12"/>
      <c r="D33" s="12"/>
      <c r="E33" s="12"/>
      <c r="F33" s="12"/>
      <c r="G33" s="10"/>
    </row>
    <row r="34" customFormat="false" ht="13.8" hidden="false" customHeight="false" outlineLevel="0" collapsed="false">
      <c r="A34" s="12"/>
      <c r="B34" s="10"/>
      <c r="C34" s="12"/>
      <c r="D34" s="12"/>
      <c r="E34" s="12"/>
      <c r="F34" s="12"/>
      <c r="G34" s="10"/>
    </row>
    <row r="35" customFormat="false" ht="13.8" hidden="false" customHeight="false" outlineLevel="0" collapsed="false">
      <c r="A35" s="12"/>
      <c r="B35" s="10"/>
      <c r="C35" s="12"/>
      <c r="D35" s="12"/>
      <c r="E35" s="12"/>
      <c r="F35" s="12"/>
      <c r="G35" s="10"/>
    </row>
    <row r="36" customFormat="false" ht="13.8" hidden="false" customHeight="false" outlineLevel="0" collapsed="false">
      <c r="A36" s="12"/>
      <c r="B36" s="10"/>
      <c r="C36" s="12"/>
      <c r="D36" s="12"/>
      <c r="E36" s="12"/>
      <c r="F36" s="12"/>
      <c r="G36" s="10"/>
    </row>
    <row r="37" customFormat="false" ht="13.8" hidden="false" customHeight="false" outlineLevel="0" collapsed="false">
      <c r="A37" s="12"/>
      <c r="B37" s="10"/>
      <c r="C37" s="12"/>
      <c r="D37" s="12"/>
      <c r="E37" s="12"/>
      <c r="F37" s="12"/>
      <c r="G37" s="10"/>
    </row>
    <row r="38" customFormat="false" ht="13.8" hidden="false" customHeight="false" outlineLevel="0" collapsed="false">
      <c r="A38" s="12"/>
      <c r="B38" s="10"/>
      <c r="C38" s="12"/>
      <c r="D38" s="12"/>
      <c r="E38" s="12"/>
      <c r="F38" s="12"/>
      <c r="G38" s="10"/>
    </row>
    <row r="39" customFormat="false" ht="13.8" hidden="false" customHeight="false" outlineLevel="0" collapsed="false">
      <c r="A39" s="12"/>
      <c r="B39" s="10"/>
      <c r="C39" s="12"/>
      <c r="D39" s="12"/>
      <c r="E39" s="12"/>
      <c r="F39" s="12"/>
      <c r="G39" s="10"/>
    </row>
    <row r="40" customFormat="false" ht="13.8" hidden="false" customHeight="false" outlineLevel="0" collapsed="false">
      <c r="A40" s="12"/>
      <c r="B40" s="10"/>
      <c r="C40" s="12"/>
      <c r="D40" s="12"/>
      <c r="E40" s="12"/>
      <c r="F40" s="12"/>
      <c r="G40" s="10"/>
    </row>
    <row r="41" customFormat="false" ht="13.8" hidden="false" customHeight="false" outlineLevel="0" collapsed="false">
      <c r="A41" s="12"/>
      <c r="B41" s="10"/>
      <c r="C41" s="12"/>
      <c r="D41" s="12"/>
      <c r="E41" s="12"/>
      <c r="F41" s="12"/>
      <c r="G41" s="10"/>
    </row>
    <row r="42" customFormat="false" ht="13.8" hidden="false" customHeight="false" outlineLevel="0" collapsed="false">
      <c r="A42" s="12"/>
      <c r="B42" s="10"/>
      <c r="C42" s="12"/>
      <c r="D42" s="12"/>
      <c r="E42" s="12"/>
      <c r="F42" s="12"/>
      <c r="G42" s="10"/>
    </row>
    <row r="43" customFormat="false" ht="13.8" hidden="false" customHeight="false" outlineLevel="0" collapsed="false">
      <c r="A43" s="12"/>
      <c r="B43" s="10"/>
      <c r="C43" s="12"/>
      <c r="D43" s="12"/>
      <c r="E43" s="12"/>
      <c r="F43" s="12"/>
      <c r="G43" s="10"/>
    </row>
    <row r="44" customFormat="false" ht="13.8" hidden="false" customHeight="false" outlineLevel="0" collapsed="false">
      <c r="A44" s="12"/>
      <c r="B44" s="10"/>
      <c r="C44" s="12"/>
      <c r="D44" s="12"/>
      <c r="E44" s="12"/>
      <c r="F44" s="12"/>
      <c r="G44" s="10"/>
    </row>
    <row r="45" customFormat="false" ht="13.8" hidden="false" customHeight="false" outlineLevel="0" collapsed="false">
      <c r="A45" s="10"/>
      <c r="B45" s="10"/>
      <c r="C45" s="10"/>
      <c r="D45" s="10"/>
      <c r="E45" s="10"/>
      <c r="F45" s="10"/>
      <c r="G45" s="10"/>
    </row>
    <row r="46" customFormat="false" ht="13.8" hidden="false" customHeight="false" outlineLevel="0" collapsed="false">
      <c r="A46" s="10"/>
      <c r="B46" s="11"/>
      <c r="C46" s="13"/>
      <c r="D46" s="13"/>
      <c r="E46" s="13"/>
      <c r="F46" s="13"/>
      <c r="G46" s="10"/>
    </row>
    <row r="47" customFormat="false" ht="13.8" hidden="false" customHeight="false" outlineLevel="0" collapsed="false">
      <c r="A47" s="10"/>
      <c r="B47" s="11"/>
      <c r="C47" s="11"/>
      <c r="D47" s="11"/>
      <c r="E47" s="11"/>
      <c r="F47" s="11"/>
      <c r="G47" s="10"/>
    </row>
    <row r="48" customFormat="false" ht="13.8" hidden="false" customHeight="false" outlineLevel="0" collapsed="false">
      <c r="A48" s="10"/>
      <c r="B48" s="10"/>
      <c r="C48" s="10"/>
      <c r="D48" s="10"/>
      <c r="E48" s="10"/>
      <c r="F48" s="10"/>
      <c r="G48" s="10"/>
    </row>
    <row r="49" customFormat="false" ht="13.8" hidden="false" customHeight="false" outlineLevel="0" collapsed="false">
      <c r="A49" s="10"/>
      <c r="B49" s="10"/>
      <c r="C49" s="10"/>
      <c r="D49" s="10"/>
      <c r="E49" s="10"/>
      <c r="F49" s="10"/>
      <c r="G49" s="10"/>
    </row>
    <row r="50" customFormat="false" ht="13.8" hidden="false" customHeight="false" outlineLevel="0" collapsed="false">
      <c r="A50" s="10"/>
      <c r="B50" s="10"/>
      <c r="C50" s="10"/>
      <c r="D50" s="10"/>
      <c r="E50" s="10"/>
      <c r="F50" s="10"/>
      <c r="G50" s="10"/>
    </row>
    <row r="51" customFormat="false" ht="13.8" hidden="false" customHeight="false" outlineLevel="0" collapsed="false">
      <c r="A51" s="10"/>
      <c r="B51" s="10"/>
      <c r="C51" s="10"/>
      <c r="D51" s="10"/>
      <c r="E51" s="10"/>
      <c r="F51" s="10"/>
      <c r="G51" s="10"/>
    </row>
    <row r="52" customFormat="false" ht="13.8" hidden="false" customHeight="false" outlineLevel="0" collapsed="false">
      <c r="A52" s="10"/>
      <c r="B52" s="10"/>
      <c r="C52" s="10"/>
      <c r="D52" s="10"/>
      <c r="E52" s="10"/>
      <c r="F52" s="10"/>
      <c r="G52" s="10"/>
    </row>
    <row r="53" customFormat="false" ht="13.8" hidden="false" customHeight="false" outlineLevel="0" collapsed="false">
      <c r="A53" s="10"/>
      <c r="B53" s="10"/>
      <c r="C53" s="10"/>
      <c r="D53" s="10"/>
      <c r="E53" s="10"/>
      <c r="F53" s="10"/>
      <c r="G53" s="10"/>
    </row>
    <row r="54" customFormat="false" ht="13.8" hidden="false" customHeight="false" outlineLevel="0" collapsed="false">
      <c r="A54" s="10"/>
      <c r="B54" s="10"/>
      <c r="C54" s="10"/>
      <c r="D54" s="10"/>
      <c r="E54" s="10"/>
      <c r="F54" s="10"/>
      <c r="G54" s="10"/>
    </row>
    <row r="55" customFormat="false" ht="13.8" hidden="false" customHeight="false" outlineLevel="0" collapsed="false">
      <c r="A55" s="10"/>
      <c r="B55" s="10"/>
      <c r="C55" s="10"/>
      <c r="D55" s="10"/>
      <c r="E55" s="10"/>
      <c r="F55" s="10"/>
      <c r="G55" s="10"/>
    </row>
    <row r="56" customFormat="false" ht="13.8" hidden="false" customHeight="false" outlineLevel="0" collapsed="false">
      <c r="A56" s="10"/>
      <c r="B56" s="10"/>
      <c r="C56" s="10"/>
      <c r="D56" s="10"/>
      <c r="E56" s="10"/>
      <c r="F56" s="10"/>
      <c r="G56" s="10"/>
    </row>
    <row r="57" customFormat="false" ht="13.8" hidden="false" customHeight="false" outlineLevel="0" collapsed="false">
      <c r="A57" s="10"/>
      <c r="B57" s="10"/>
      <c r="C57" s="10"/>
      <c r="D57" s="10"/>
      <c r="E57" s="10"/>
      <c r="F57" s="10"/>
      <c r="G57" s="10"/>
    </row>
    <row r="58" customFormat="false" ht="13.8" hidden="false" customHeight="false" outlineLevel="0" collapsed="false">
      <c r="A58" s="10"/>
      <c r="B58" s="10"/>
      <c r="C58" s="10"/>
      <c r="D58" s="10"/>
      <c r="E58" s="10"/>
      <c r="F58" s="10"/>
      <c r="G58" s="10"/>
    </row>
    <row r="59" customFormat="false" ht="13.8" hidden="false" customHeight="false" outlineLevel="0" collapsed="false">
      <c r="A59" s="10"/>
      <c r="B59" s="10"/>
      <c r="C59" s="10"/>
      <c r="D59" s="10"/>
      <c r="E59" s="10"/>
      <c r="F59" s="10"/>
      <c r="G59" s="10"/>
    </row>
    <row r="60" customFormat="false" ht="13.8" hidden="false" customHeight="false" outlineLevel="0" collapsed="false">
      <c r="A60" s="10"/>
      <c r="B60" s="10"/>
      <c r="C60" s="10"/>
      <c r="D60" s="10"/>
      <c r="E60" s="10"/>
      <c r="F60" s="10"/>
      <c r="G60" s="10"/>
    </row>
  </sheetData>
  <mergeCells count="2">
    <mergeCell ref="J7:K7"/>
    <mergeCell ref="L7:M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I77" activeCellId="0" sqref="I77"/>
    </sheetView>
  </sheetViews>
  <sheetFormatPr defaultColWidth="10.5859375" defaultRowHeight="13.8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0" width="36.11"/>
    <col collapsed="false" customWidth="true" hidden="false" outlineLevel="0" max="3" min="3" style="0" width="80.89"/>
    <col collapsed="false" customWidth="true" hidden="false" outlineLevel="0" max="4" min="4" style="0" width="38.88"/>
    <col collapsed="false" customWidth="true" hidden="false" outlineLevel="0" max="7" min="6" style="0" width="26.94"/>
  </cols>
  <sheetData>
    <row r="1" customFormat="false" ht="13.8" hidden="false" customHeight="false" outlineLevel="0" collapsed="false">
      <c r="A1" s="1" t="s">
        <v>0</v>
      </c>
      <c r="B1" s="1" t="s">
        <v>39</v>
      </c>
      <c r="C1" s="1" t="s">
        <v>40</v>
      </c>
      <c r="D1" s="1" t="s">
        <v>1</v>
      </c>
      <c r="E1" s="1" t="s">
        <v>2</v>
      </c>
    </row>
    <row r="2" customFormat="false" ht="13.8" hidden="false" customHeight="false" outlineLevel="0" collapsed="false">
      <c r="A2" s="2" t="s">
        <v>79</v>
      </c>
    </row>
    <row r="3" customFormat="false" ht="13.8" hidden="false" customHeight="false" outlineLevel="0" collapsed="false">
      <c r="A3" s="2" t="s">
        <v>6</v>
      </c>
      <c r="B3" s="2" t="s">
        <v>42</v>
      </c>
      <c r="C3" s="2" t="s">
        <v>43</v>
      </c>
    </row>
    <row r="4" customFormat="false" ht="13.8" hidden="false" customHeight="false" outlineLevel="0" collapsed="false">
      <c r="A4" s="0" t="s">
        <v>12</v>
      </c>
      <c r="B4" s="2" t="s">
        <v>44</v>
      </c>
      <c r="C4" s="0" t="s">
        <v>80</v>
      </c>
    </row>
    <row r="5" customFormat="false" ht="13.8" hidden="false" customHeight="false" outlineLevel="0" collapsed="false">
      <c r="A5" s="0" t="s">
        <v>12</v>
      </c>
      <c r="B5" s="2" t="s">
        <v>46</v>
      </c>
      <c r="C5" s="0" t="n">
        <v>6</v>
      </c>
    </row>
    <row r="6" customFormat="false" ht="13.8" hidden="false" customHeight="false" outlineLevel="0" collapsed="false">
      <c r="A6" s="0" t="s">
        <v>12</v>
      </c>
      <c r="B6" s="2" t="s">
        <v>47</v>
      </c>
      <c r="C6" s="0" t="n">
        <v>0</v>
      </c>
    </row>
    <row r="7" customFormat="false" ht="13.8" hidden="false" customHeight="false" outlineLevel="0" collapsed="false">
      <c r="A7" s="0" t="s">
        <v>12</v>
      </c>
      <c r="B7" s="2" t="s">
        <v>48</v>
      </c>
      <c r="C7" s="0" t="n">
        <v>6</v>
      </c>
    </row>
    <row r="8" customFormat="false" ht="13.8" hidden="false" customHeight="false" outlineLevel="0" collapsed="false">
      <c r="B8" s="2"/>
    </row>
    <row r="9" customFormat="false" ht="13.8" hidden="false" customHeight="false" outlineLevel="0" collapsed="false">
      <c r="A9" s="0" t="s">
        <v>14</v>
      </c>
      <c r="B9" s="2" t="s">
        <v>44</v>
      </c>
      <c r="C9" s="0" t="s">
        <v>81</v>
      </c>
    </row>
    <row r="10" customFormat="false" ht="13.8" hidden="false" customHeight="false" outlineLevel="0" collapsed="false">
      <c r="A10" s="0" t="s">
        <v>14</v>
      </c>
      <c r="B10" s="2" t="s">
        <v>46</v>
      </c>
      <c r="C10" s="0" t="n">
        <v>6</v>
      </c>
    </row>
    <row r="11" customFormat="false" ht="13.8" hidden="false" customHeight="false" outlineLevel="0" collapsed="false">
      <c r="A11" s="0" t="s">
        <v>14</v>
      </c>
      <c r="B11" s="2" t="s">
        <v>47</v>
      </c>
      <c r="C11" s="0" t="n">
        <v>0</v>
      </c>
    </row>
    <row r="12" customFormat="false" ht="13.8" hidden="false" customHeight="false" outlineLevel="0" collapsed="false">
      <c r="A12" s="0" t="s">
        <v>14</v>
      </c>
      <c r="B12" s="2" t="s">
        <v>48</v>
      </c>
      <c r="C12" s="0" t="n">
        <v>6</v>
      </c>
    </row>
    <row r="13" customFormat="false" ht="13.8" hidden="false" customHeight="false" outlineLevel="0" collapsed="false">
      <c r="B13" s="2"/>
    </row>
    <row r="14" customFormat="false" ht="13.8" hidden="false" customHeight="false" outlineLevel="0" collapsed="false">
      <c r="A14" s="0" t="s">
        <v>16</v>
      </c>
      <c r="B14" s="2" t="s">
        <v>44</v>
      </c>
      <c r="C14" s="0" t="s">
        <v>82</v>
      </c>
    </row>
    <row r="15" customFormat="false" ht="13.8" hidden="false" customHeight="false" outlineLevel="0" collapsed="false">
      <c r="A15" s="0" t="s">
        <v>16</v>
      </c>
      <c r="B15" s="2" t="s">
        <v>46</v>
      </c>
      <c r="C15" s="0" t="n">
        <v>6</v>
      </c>
    </row>
    <row r="16" customFormat="false" ht="13.8" hidden="false" customHeight="false" outlineLevel="0" collapsed="false">
      <c r="A16" s="0" t="s">
        <v>16</v>
      </c>
      <c r="B16" s="2" t="s">
        <v>47</v>
      </c>
      <c r="C16" s="0" t="n">
        <v>0</v>
      </c>
    </row>
    <row r="17" customFormat="false" ht="13.8" hidden="false" customHeight="false" outlineLevel="0" collapsed="false">
      <c r="A17" s="0" t="s">
        <v>16</v>
      </c>
      <c r="B17" s="2" t="s">
        <v>48</v>
      </c>
      <c r="C17" s="0" t="n">
        <v>6</v>
      </c>
    </row>
    <row r="18" customFormat="false" ht="13.8" hidden="false" customHeight="false" outlineLevel="0" collapsed="false">
      <c r="B18" s="2"/>
    </row>
    <row r="19" customFormat="false" ht="13.8" hidden="false" customHeight="false" outlineLevel="0" collapsed="false">
      <c r="A19" s="0" t="s">
        <v>17</v>
      </c>
      <c r="B19" s="2" t="s">
        <v>44</v>
      </c>
      <c r="C19" s="0" t="s">
        <v>83</v>
      </c>
    </row>
    <row r="20" customFormat="false" ht="13.8" hidden="false" customHeight="false" outlineLevel="0" collapsed="false">
      <c r="A20" s="0" t="s">
        <v>17</v>
      </c>
      <c r="B20" s="2" t="s">
        <v>46</v>
      </c>
      <c r="C20" s="0" t="n">
        <v>6</v>
      </c>
    </row>
    <row r="21" customFormat="false" ht="13.8" hidden="false" customHeight="false" outlineLevel="0" collapsed="false">
      <c r="A21" s="0" t="s">
        <v>17</v>
      </c>
      <c r="B21" s="2" t="s">
        <v>47</v>
      </c>
      <c r="C21" s="0" t="n">
        <v>0</v>
      </c>
    </row>
    <row r="22" customFormat="false" ht="13.8" hidden="false" customHeight="false" outlineLevel="0" collapsed="false">
      <c r="A22" s="0" t="s">
        <v>17</v>
      </c>
      <c r="B22" s="2" t="s">
        <v>48</v>
      </c>
      <c r="C22" s="0" t="n">
        <v>6</v>
      </c>
    </row>
    <row r="23" customFormat="false" ht="13.8" hidden="false" customHeight="false" outlineLevel="0" collapsed="false">
      <c r="B23" s="2"/>
    </row>
    <row r="24" customFormat="false" ht="13.8" hidden="false" customHeight="false" outlineLevel="0" collapsed="false">
      <c r="A24" s="0" t="s">
        <v>19</v>
      </c>
      <c r="B24" s="2" t="s">
        <v>44</v>
      </c>
      <c r="C24" s="0" t="s">
        <v>84</v>
      </c>
    </row>
    <row r="25" customFormat="false" ht="13.8" hidden="false" customHeight="false" outlineLevel="0" collapsed="false">
      <c r="A25" s="0" t="s">
        <v>19</v>
      </c>
      <c r="B25" s="2" t="s">
        <v>46</v>
      </c>
      <c r="C25" s="0" t="n">
        <v>6</v>
      </c>
    </row>
    <row r="26" customFormat="false" ht="13.8" hidden="false" customHeight="false" outlineLevel="0" collapsed="false">
      <c r="A26" s="0" t="s">
        <v>19</v>
      </c>
      <c r="B26" s="2" t="s">
        <v>47</v>
      </c>
      <c r="C26" s="0" t="n">
        <v>0</v>
      </c>
    </row>
    <row r="27" customFormat="false" ht="13.8" hidden="false" customHeight="false" outlineLevel="0" collapsed="false">
      <c r="A27" s="0" t="s">
        <v>19</v>
      </c>
      <c r="B27" s="2" t="s">
        <v>48</v>
      </c>
      <c r="C27" s="0" t="n">
        <v>6</v>
      </c>
    </row>
    <row r="28" customFormat="false" ht="13.8" hidden="false" customHeight="false" outlineLevel="0" collapsed="false">
      <c r="B28" s="2"/>
    </row>
    <row r="29" customFormat="false" ht="13.8" hidden="false" customHeight="false" outlineLevel="0" collapsed="false">
      <c r="A29" s="0" t="s">
        <v>22</v>
      </c>
      <c r="B29" s="2" t="s">
        <v>44</v>
      </c>
      <c r="C29" s="0" t="s">
        <v>85</v>
      </c>
    </row>
    <row r="30" customFormat="false" ht="13.8" hidden="false" customHeight="false" outlineLevel="0" collapsed="false">
      <c r="A30" s="0" t="s">
        <v>22</v>
      </c>
      <c r="B30" s="2" t="s">
        <v>46</v>
      </c>
      <c r="C30" s="0" t="n">
        <v>6</v>
      </c>
    </row>
    <row r="31" customFormat="false" ht="13.8" hidden="false" customHeight="false" outlineLevel="0" collapsed="false">
      <c r="A31" s="0" t="s">
        <v>22</v>
      </c>
      <c r="B31" s="2" t="s">
        <v>47</v>
      </c>
      <c r="C31" s="0" t="n">
        <v>0</v>
      </c>
    </row>
    <row r="32" customFormat="false" ht="13.8" hidden="false" customHeight="false" outlineLevel="0" collapsed="false">
      <c r="A32" s="0" t="s">
        <v>22</v>
      </c>
      <c r="B32" s="2" t="s">
        <v>48</v>
      </c>
      <c r="C32" s="0" t="n">
        <v>6</v>
      </c>
    </row>
    <row r="33" customFormat="false" ht="13.8" hidden="false" customHeight="false" outlineLevel="0" collapsed="false">
      <c r="B33" s="2"/>
    </row>
    <row r="34" customFormat="false" ht="13.8" hidden="false" customHeight="false" outlineLevel="0" collapsed="false">
      <c r="A34" s="0" t="s">
        <v>26</v>
      </c>
      <c r="B34" s="2" t="s">
        <v>44</v>
      </c>
      <c r="C34" s="0" t="s">
        <v>81</v>
      </c>
    </row>
    <row r="35" customFormat="false" ht="13.8" hidden="false" customHeight="false" outlineLevel="0" collapsed="false">
      <c r="A35" s="0" t="s">
        <v>26</v>
      </c>
      <c r="B35" s="2" t="s">
        <v>46</v>
      </c>
      <c r="C35" s="0" t="n">
        <v>6</v>
      </c>
    </row>
    <row r="36" customFormat="false" ht="13.8" hidden="false" customHeight="false" outlineLevel="0" collapsed="false">
      <c r="A36" s="0" t="s">
        <v>26</v>
      </c>
      <c r="B36" s="2" t="s">
        <v>47</v>
      </c>
      <c r="C36" s="0" t="n">
        <v>0</v>
      </c>
    </row>
    <row r="37" customFormat="false" ht="13.8" hidden="false" customHeight="false" outlineLevel="0" collapsed="false">
      <c r="A37" s="0" t="s">
        <v>26</v>
      </c>
      <c r="B37" s="2" t="s">
        <v>48</v>
      </c>
      <c r="C37" s="0" t="n">
        <v>6</v>
      </c>
    </row>
    <row r="38" customFormat="false" ht="13.8" hidden="false" customHeight="false" outlineLevel="0" collapsed="false">
      <c r="B38" s="2"/>
    </row>
    <row r="39" customFormat="false" ht="13.8" hidden="false" customHeight="false" outlineLevel="0" collapsed="false">
      <c r="A39" s="0" t="s">
        <v>28</v>
      </c>
      <c r="B39" s="2" t="s">
        <v>44</v>
      </c>
      <c r="C39" s="0" t="s">
        <v>81</v>
      </c>
    </row>
    <row r="40" customFormat="false" ht="13.8" hidden="false" customHeight="false" outlineLevel="0" collapsed="false">
      <c r="A40" s="0" t="s">
        <v>28</v>
      </c>
      <c r="B40" s="2" t="s">
        <v>46</v>
      </c>
      <c r="C40" s="0" t="n">
        <v>6</v>
      </c>
    </row>
    <row r="41" customFormat="false" ht="13.8" hidden="false" customHeight="false" outlineLevel="0" collapsed="false">
      <c r="A41" s="0" t="s">
        <v>28</v>
      </c>
      <c r="B41" s="2" t="s">
        <v>47</v>
      </c>
      <c r="C41" s="0" t="n">
        <v>0</v>
      </c>
    </row>
    <row r="42" customFormat="false" ht="13.8" hidden="false" customHeight="false" outlineLevel="0" collapsed="false">
      <c r="A42" s="0" t="s">
        <v>28</v>
      </c>
      <c r="B42" s="2" t="s">
        <v>48</v>
      </c>
      <c r="C42" s="0" t="n">
        <v>6</v>
      </c>
    </row>
    <row r="43" customFormat="false" ht="13.8" hidden="false" customHeight="false" outlineLevel="0" collapsed="false">
      <c r="B43" s="2"/>
    </row>
    <row r="44" customFormat="false" ht="13.8" hidden="false" customHeight="false" outlineLevel="0" collapsed="false">
      <c r="A44" s="0" t="s">
        <v>29</v>
      </c>
      <c r="B44" s="2" t="s">
        <v>44</v>
      </c>
      <c r="C44" s="0" t="s">
        <v>86</v>
      </c>
    </row>
    <row r="45" customFormat="false" ht="13.8" hidden="false" customHeight="false" outlineLevel="0" collapsed="false">
      <c r="A45" s="0" t="s">
        <v>29</v>
      </c>
      <c r="B45" s="2" t="s">
        <v>46</v>
      </c>
      <c r="C45" s="0" t="n">
        <v>6</v>
      </c>
    </row>
    <row r="46" customFormat="false" ht="13.8" hidden="false" customHeight="false" outlineLevel="0" collapsed="false">
      <c r="A46" s="0" t="s">
        <v>29</v>
      </c>
      <c r="B46" s="2" t="s">
        <v>47</v>
      </c>
      <c r="C46" s="0" t="n">
        <v>3</v>
      </c>
    </row>
    <row r="47" customFormat="false" ht="13.8" hidden="false" customHeight="false" outlineLevel="0" collapsed="false">
      <c r="A47" s="0" t="s">
        <v>29</v>
      </c>
      <c r="B47" s="2" t="s">
        <v>48</v>
      </c>
      <c r="C47" s="0" t="n">
        <v>6</v>
      </c>
    </row>
    <row r="48" customFormat="false" ht="13.8" hidden="false" customHeight="false" outlineLevel="0" collapsed="false">
      <c r="B48" s="2"/>
    </row>
    <row r="49" customFormat="false" ht="13.8" hidden="false" customHeight="false" outlineLevel="0" collapsed="false">
      <c r="A49" s="0" t="s">
        <v>30</v>
      </c>
      <c r="B49" s="2" t="s">
        <v>87</v>
      </c>
      <c r="C49" s="0" t="s">
        <v>80</v>
      </c>
    </row>
    <row r="50" customFormat="false" ht="13.8" hidden="false" customHeight="false" outlineLevel="0" collapsed="false">
      <c r="A50" s="0" t="s">
        <v>30</v>
      </c>
      <c r="B50" s="2" t="s">
        <v>46</v>
      </c>
      <c r="C50" s="0" t="n">
        <v>6</v>
      </c>
    </row>
    <row r="51" customFormat="false" ht="13.8" hidden="false" customHeight="false" outlineLevel="0" collapsed="false">
      <c r="A51" s="0" t="s">
        <v>30</v>
      </c>
      <c r="B51" s="2" t="s">
        <v>47</v>
      </c>
      <c r="C51" s="0" t="n">
        <v>0</v>
      </c>
    </row>
    <row r="52" customFormat="false" ht="13.8" hidden="false" customHeight="false" outlineLevel="0" collapsed="false">
      <c r="A52" s="0" t="s">
        <v>30</v>
      </c>
      <c r="B52" s="2" t="s">
        <v>48</v>
      </c>
      <c r="C52" s="0" t="n">
        <v>6</v>
      </c>
    </row>
    <row r="53" customFormat="false" ht="13.8" hidden="false" customHeight="false" outlineLevel="0" collapsed="false">
      <c r="B53" s="2"/>
    </row>
    <row r="54" customFormat="false" ht="13.8" hidden="false" customHeight="false" outlineLevel="0" collapsed="false">
      <c r="A54" s="0" t="s">
        <v>31</v>
      </c>
      <c r="B54" s="2" t="s">
        <v>44</v>
      </c>
      <c r="C54" s="0" t="s">
        <v>88</v>
      </c>
    </row>
    <row r="55" customFormat="false" ht="13.8" hidden="false" customHeight="false" outlineLevel="0" collapsed="false">
      <c r="A55" s="0" t="s">
        <v>31</v>
      </c>
      <c r="B55" s="2" t="s">
        <v>46</v>
      </c>
      <c r="C55" s="0" t="n">
        <v>6</v>
      </c>
    </row>
    <row r="56" customFormat="false" ht="13.8" hidden="false" customHeight="false" outlineLevel="0" collapsed="false">
      <c r="A56" s="0" t="s">
        <v>31</v>
      </c>
      <c r="B56" s="2" t="s">
        <v>47</v>
      </c>
      <c r="C56" s="0" t="n">
        <v>0</v>
      </c>
    </row>
    <row r="57" customFormat="false" ht="13.8" hidden="false" customHeight="false" outlineLevel="0" collapsed="false">
      <c r="A57" s="0" t="s">
        <v>31</v>
      </c>
      <c r="B57" s="2" t="s">
        <v>48</v>
      </c>
      <c r="C57" s="0" t="n">
        <v>6</v>
      </c>
    </row>
    <row r="58" customFormat="false" ht="13.8" hidden="false" customHeight="false" outlineLevel="0" collapsed="false">
      <c r="B58" s="2"/>
    </row>
    <row r="59" customFormat="false" ht="13.8" hidden="false" customHeight="false" outlineLevel="0" collapsed="false">
      <c r="A59" s="0" t="s">
        <v>33</v>
      </c>
      <c r="B59" s="2" t="s">
        <v>44</v>
      </c>
      <c r="C59" s="0" t="s">
        <v>89</v>
      </c>
    </row>
    <row r="60" customFormat="false" ht="13.8" hidden="false" customHeight="false" outlineLevel="0" collapsed="false">
      <c r="A60" s="0" t="s">
        <v>33</v>
      </c>
      <c r="B60" s="2" t="s">
        <v>46</v>
      </c>
      <c r="C60" s="0" t="n">
        <v>6</v>
      </c>
    </row>
    <row r="61" customFormat="false" ht="13.8" hidden="false" customHeight="false" outlineLevel="0" collapsed="false">
      <c r="A61" s="0" t="s">
        <v>33</v>
      </c>
      <c r="B61" s="2" t="s">
        <v>47</v>
      </c>
      <c r="C61" s="0" t="n">
        <v>0</v>
      </c>
    </row>
    <row r="62" customFormat="false" ht="13.8" hidden="false" customHeight="false" outlineLevel="0" collapsed="false">
      <c r="A62" s="0" t="s">
        <v>33</v>
      </c>
      <c r="B62" s="2" t="s">
        <v>48</v>
      </c>
      <c r="C62" s="0" t="n">
        <v>6</v>
      </c>
    </row>
    <row r="63" customFormat="false" ht="13.8" hidden="false" customHeight="false" outlineLevel="0" collapsed="false">
      <c r="B63" s="2"/>
    </row>
    <row r="64" customFormat="false" ht="13.8" hidden="false" customHeight="false" outlineLevel="0" collapsed="false">
      <c r="A64" s="0" t="s">
        <v>34</v>
      </c>
      <c r="B64" s="2" t="s">
        <v>44</v>
      </c>
      <c r="C64" s="0" t="s">
        <v>81</v>
      </c>
    </row>
    <row r="65" customFormat="false" ht="13.8" hidden="false" customHeight="false" outlineLevel="0" collapsed="false">
      <c r="A65" s="0" t="s">
        <v>34</v>
      </c>
      <c r="B65" s="2" t="s">
        <v>46</v>
      </c>
      <c r="C65" s="0" t="n">
        <v>6</v>
      </c>
    </row>
    <row r="66" customFormat="false" ht="13.8" hidden="false" customHeight="false" outlineLevel="0" collapsed="false">
      <c r="A66" s="0" t="s">
        <v>34</v>
      </c>
      <c r="B66" s="2" t="s">
        <v>47</v>
      </c>
      <c r="C66" s="0" t="n">
        <v>0</v>
      </c>
    </row>
    <row r="67" customFormat="false" ht="13.8" hidden="false" customHeight="false" outlineLevel="0" collapsed="false">
      <c r="A67" s="0" t="s">
        <v>34</v>
      </c>
      <c r="B67" s="2" t="s">
        <v>48</v>
      </c>
      <c r="C67" s="0" t="n">
        <v>6</v>
      </c>
    </row>
    <row r="68" customFormat="false" ht="13.8" hidden="false" customHeight="false" outlineLevel="0" collapsed="false">
      <c r="B68" s="2"/>
    </row>
    <row r="69" customFormat="false" ht="13.8" hidden="false" customHeight="false" outlineLevel="0" collapsed="false">
      <c r="A69" s="0" t="s">
        <v>35</v>
      </c>
      <c r="B69" s="2" t="s">
        <v>44</v>
      </c>
      <c r="C69" s="0" t="s">
        <v>81</v>
      </c>
    </row>
    <row r="70" customFormat="false" ht="13.8" hidden="false" customHeight="false" outlineLevel="0" collapsed="false">
      <c r="A70" s="0" t="s">
        <v>35</v>
      </c>
      <c r="B70" s="2" t="s">
        <v>46</v>
      </c>
      <c r="C70" s="0" t="n">
        <v>6</v>
      </c>
    </row>
    <row r="71" customFormat="false" ht="13.8" hidden="false" customHeight="false" outlineLevel="0" collapsed="false">
      <c r="A71" s="0" t="s">
        <v>35</v>
      </c>
      <c r="B71" s="2" t="s">
        <v>47</v>
      </c>
      <c r="C71" s="0" t="n">
        <v>0</v>
      </c>
    </row>
    <row r="72" customFormat="false" ht="13.8" hidden="false" customHeight="false" outlineLevel="0" collapsed="false">
      <c r="A72" s="0" t="s">
        <v>35</v>
      </c>
      <c r="B72" s="2" t="s">
        <v>48</v>
      </c>
      <c r="C72" s="0" t="n">
        <v>6</v>
      </c>
    </row>
    <row r="73" customFormat="false" ht="13.8" hidden="false" customHeight="false" outlineLevel="0" collapsed="false">
      <c r="B73" s="2"/>
    </row>
    <row r="74" customFormat="false" ht="13.8" hidden="false" customHeight="false" outlineLevel="0" collapsed="false">
      <c r="A74" s="0" t="s">
        <v>36</v>
      </c>
      <c r="B74" s="2" t="s">
        <v>44</v>
      </c>
      <c r="C74" s="0" t="s">
        <v>80</v>
      </c>
    </row>
    <row r="75" customFormat="false" ht="13.8" hidden="false" customHeight="false" outlineLevel="0" collapsed="false">
      <c r="A75" s="0" t="s">
        <v>36</v>
      </c>
      <c r="B75" s="2" t="s">
        <v>46</v>
      </c>
      <c r="C75" s="0" t="n">
        <v>6</v>
      </c>
    </row>
    <row r="76" customFormat="false" ht="13.8" hidden="false" customHeight="false" outlineLevel="0" collapsed="false">
      <c r="A76" s="0" t="s">
        <v>36</v>
      </c>
      <c r="B76" s="2" t="s">
        <v>47</v>
      </c>
      <c r="C76" s="0" t="n">
        <v>0</v>
      </c>
    </row>
    <row r="77" customFormat="false" ht="13.8" hidden="false" customHeight="false" outlineLevel="0" collapsed="false">
      <c r="A77" s="0" t="s">
        <v>36</v>
      </c>
      <c r="B77" s="2" t="s">
        <v>48</v>
      </c>
      <c r="C77" s="0" t="n">
        <v>6</v>
      </c>
    </row>
    <row r="78" customFormat="false" ht="14.7" hidden="false" customHeight="false" outlineLevel="0" collapsed="false">
      <c r="F78" s="5" t="s">
        <v>18</v>
      </c>
      <c r="G78" s="5"/>
    </row>
    <row r="79" customFormat="false" ht="13.8" hidden="false" customHeight="false" outlineLevel="0" collapsed="false">
      <c r="B79" s="7" t="s">
        <v>46</v>
      </c>
      <c r="C79" s="14" t="n">
        <f aca="false">SUM(C5,C10,C15,C20,C25,C30,C35,C40,C45,C50,C55,C60,C65,C70,C75)</f>
        <v>90</v>
      </c>
      <c r="F79" s="6" t="s">
        <v>21</v>
      </c>
      <c r="G79" s="6"/>
    </row>
    <row r="80" customFormat="false" ht="13.8" hidden="false" customHeight="false" outlineLevel="0" collapsed="false">
      <c r="B80" s="7" t="s">
        <v>58</v>
      </c>
      <c r="C80" s="14" t="n">
        <f aca="false">SUM(C6,C11,C16,C21,C26,C31,C36,C41,C46,C51,C56,C61,C66,C71,C76)</f>
        <v>3</v>
      </c>
      <c r="F80" s="0" t="s">
        <v>24</v>
      </c>
      <c r="G80" s="0" t="s">
        <v>25</v>
      </c>
    </row>
    <row r="81" customFormat="false" ht="13.8" hidden="false" customHeight="false" outlineLevel="0" collapsed="false">
      <c r="B81" s="7" t="s">
        <v>59</v>
      </c>
      <c r="C81" s="14" t="n">
        <f aca="false">C79-C80</f>
        <v>87</v>
      </c>
      <c r="F81" s="0" t="n">
        <v>14</v>
      </c>
      <c r="G81" s="0" t="n">
        <v>1</v>
      </c>
    </row>
    <row r="82" customFormat="false" ht="13.8" hidden="false" customHeight="false" outlineLevel="0" collapsed="false">
      <c r="B82" s="7" t="s">
        <v>60</v>
      </c>
      <c r="C82" s="15" t="n">
        <f aca="false">C81/C79*100</f>
        <v>96.6666666666667</v>
      </c>
    </row>
  </sheetData>
  <mergeCells count="1">
    <mergeCell ref="F79:G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2025-07-13T07:00:27Z</dcterms:created>
  <dc:creator>diana cerdas</dc:creator>
  <dc:description/>
  <dc:language>en-US</dc:language>
  <cp:lastModifiedBy/>
  <dcterms:modified xsi:type="dcterms:W3CDTF">2026-03-24T18:06:10Z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