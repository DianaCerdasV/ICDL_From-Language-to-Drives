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9.xml.rels" ContentType="application/vnd.openxmlformats-package.relationships+xml"/>
  <Override PartName="/xl/worksheets/_rels/sheet6.xml.rels" ContentType="application/vnd.openxmlformats-package.relationships+xml"/>
  <Override PartName="/xl/worksheets/_rels/sheet8.xml.rels" ContentType="application/vnd.openxmlformats-package.relationships+xml"/>
  <Override PartName="/xl/worksheets/_rels/sheet5.xml.rels" ContentType="application/vnd.openxmlformats-package.relationships+xml"/>
  <Override PartName="/xl/worksheets/_rels/sheet2.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tables/table5.xml" ContentType="application/vnd.openxmlformats-officedocument.spreadsheetml.table+xml"/>
  <Override PartName="/xl/tables/table4.xml" ContentType="application/vnd.openxmlformats-officedocument.spreadsheetml.table+xml"/>
  <Override PartName="/xl/tables/table3.xml" ContentType="application/vnd.openxmlformats-officedocument.spreadsheetml.table+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Alignment_arrange_apples" sheetId="1" state="visible" r:id="rId2"/>
    <sheet name="Missions_arrange_apples" sheetId="2" state="visible" r:id="rId3"/>
    <sheet name="Drives_arrange_apples" sheetId="3" state="visible" r:id="rId4"/>
    <sheet name="Alignment_cylinders_in_baskets" sheetId="4" state="visible" r:id="rId5"/>
    <sheet name="Missions_cylinders_in_baskets" sheetId="5" state="visible" r:id="rId6"/>
    <sheet name="Drives_cylinders_in_basket" sheetId="6" state="visible" r:id="rId7"/>
    <sheet name="Alignment_stack_cylinders" sheetId="7" state="visible" r:id="rId8"/>
    <sheet name="Missions_stack_cylinders" sheetId="8" state="visible" r:id="rId9"/>
    <sheet name="Drives_stack_cylinders" sheetId="9" state="visible" r:id="rId10"/>
  </sheets>
  <definedNames>
    <definedName function="false" hidden="false" name="Cilindros___Propósito" vbProcedure="false">#REF!</definedName>
    <definedName function="false" hidden="false" localSheetId="1" name="DatosExternos_1" vbProcedure="false">Missions_arrange_apples!$A$1:$C$19</definedName>
    <definedName function="false" hidden="false" localSheetId="2" name="DatosExternos_1" vbProcedure="false">Drives_arrange_apples!$A$1:$C$82</definedName>
    <definedName function="false" hidden="false" localSheetId="4" name="DatosExternos_1" vbProcedure="false">Missions_cylinders_in_baskets!$A$1:$C$21</definedName>
    <definedName function="false" hidden="false" localSheetId="5" name="DatosExternos_1" vbProcedure="false">Drives_cylinders_in_basket!$A$1:$C$82</definedName>
    <definedName function="false" hidden="false" localSheetId="7" name="DatosExternos_1" vbProcedure="false">Missions_stack_cylinders!$A$1:$B$19</definedName>
    <definedName function="false" hidden="false" localSheetId="8" name="DatosExternos_1" vbProcedure="false">Drives_stack_cylinders!$A$1:$C$77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<sst xmlns="http://schemas.openxmlformats.org/spreadsheetml/2006/main" count="894" uniqueCount="307">
  <si>
    <t xml:space="preserve">Results: SEMANTIC SIMILARITY EXPERIMENT SORTING APPLES BY COLOR</t>
  </si>
  <si>
    <t xml:space="preserve">Ideal purpose: </t>
  </si>
  <si>
    <t xml:space="preserve">The robot should arrange the apples on the table by their color. First, the robot has to grasp the red apple (object2) and place in in the right side of the table (x_position&gt;0.5). After that, the robot has to grasp the green apple (object3) and place it on the left side of the table (x_position&lt;0.5).</t>
  </si>
  <si>
    <t xml:space="preserve">Semantic Similarity</t>
  </si>
  <si>
    <t xml:space="preserve">Bert Score</t>
  </si>
  <si>
    <t xml:space="preserve">Purpose</t>
  </si>
  <si>
    <t xml:space="preserve">Input</t>
  </si>
  <si>
    <t xml:space="preserve">Output with feedback</t>
  </si>
  <si>
    <t xml:space="preserve">Output without feedback</t>
  </si>
  <si>
    <t xml:space="preserve">Input-Ideal</t>
  </si>
  <si>
    <t xml:space="preserve">Output without feedback-Ideal</t>
  </si>
  <si>
    <t xml:space="preserve">Output with feedback-Ideal</t>
  </si>
  <si>
    <t xml:space="preserve">Arrange the apples on the table like this.</t>
  </si>
  <si>
    <t xml:space="preserve">The robot should first grasp the red apple using its robotic arm and move it to any position within the right half of the table, ensuring that it is placed anywhere in this area. After successfully placing the red apple, the robot should release it. Next, the robot must pick up the green apple, transport it across the table, and place it anywhere on the left side of the table, again making sure to release it once positioned correctly.</t>
  </si>
  <si>
    <t xml:space="preserve">The robot's purpose is to arrange two apples on the table such that one green apple is placed on the left side of the table from the person's perspective, and one red apple is placed on the right side. The robot must first grasp each apple individually using its robotic arm. Once an apple is grasped, the robot should move it to the designated position: the green apple to the left side and the red apple to the right side of the table. This involves moving the robot's hand to the specific x-coordinates corresponding to these positions while ensuring that the y-coordinate remains appropriate for placing the apples on the table surface. After positioning each apple, the robot should release it from its grasp, leaving both apples stationary in their respective locations as per the human's arrangement shown in the image.</t>
  </si>
  <si>
    <t xml:space="preserve">Organize all apples by their color like this.</t>
  </si>
  <si>
    <t xml:space="preserve">The robot's purpose is to organize apples by their color on a table. It should identify the red apple and move it to any position within the right area of the table. Similarly, it should identify the green apple and place it in any position within the left area of the table. This involves recognizing each apple based on its color, grasping them with the robotic arm, and then placing them in their designated areas.</t>
  </si>
  <si>
    <t xml:space="preserve">The purpose involves organizing all apples by their color, specifically distinguishing between a green apple and a red apple present on the table. To achieve this, the robot must perform concrete actions: first, it should move its hand to the position of the green apple (object3) using its x_position and y_position coordinates, grasp it while ensuring object3.state is 0 (not pressed), then relocate it to a designated area for green apples. Next, the robot should move its hand to the red apple's (object2) position using its respective x_position and y_position coordinates, grasp it while confirming object2.state remains 0, and place it in a separate area reserved for red apples. These actions ensure that each apple is organized according to its color as intended by the human purpose.</t>
  </si>
  <si>
    <t xml:space="preserve">Sort the items on the table based on color like this.</t>
  </si>
  <si>
    <t xml:space="preserve">The robot's purpose is to sort apples based on their color by grasping each apple and placing them in designated areas: red apples are placed on the right side of the table, while green apples are positioned on the left side. The robot will first identify and grasp the red apple, move it to the right side, then locate and grasp the green apple, and finally place it on the left side.</t>
  </si>
  <si>
    <t xml:space="preserve">The purpose is for the robot to sort items on the table based on color, specifically focusing on two apples and a button. The scene involves a green apple (object3) positioned on the left side of the table with a normalized diameter of 0.4, and a red apple (object2) positioned on the right side with the same normalized diameter of 0.4. A dividing line between them suggests separation by color. Additionally, there is a white button (object1) whose position and state are noted but not specified in terms of sorting by color. The robot's task involves moving its hand to grasp each apple based on their respective colors: first the green apple from the left side, then the red apple from the right side. This action aligns with the inferred human intent to sort or interact with the apples according to their color distinction as indicated in the image description.</t>
  </si>
  <si>
    <t xml:space="preserve">Distribute the apples appropriately like this.</t>
  </si>
  <si>
    <t xml:space="preserve">The robot's purpose is to distribute apples by grasping each one individually and placing them in designated areas on the table: red apples should be placed anywhere within the right half of the table, while green apples should be positioned anywhere within the left half. This involves moving to appropriate locations based on the color of each apple and ensuring they are released in their respective areas.</t>
  </si>
  <si>
    <t xml:space="preserve">The purpose for the robot involves distributing the apples in a manner that aligns with the scene described in the image. Specifically, the robot should position itself such that it can grasp and place each of the apples (Object 2: red apple, Object 3: green apple) on opposite sides of the table relative to the central line indicated by the red line visible in the image. The robot must first move its hand to the x and y coordinates corresponding to the position of the red apple, grasp it, then relocate it to a new position on one side of the table's centerline. Subsequently, the robot should adjust its hand to the green apple's coordinates, grasp it, and place it on the opposite side of the centerline from where the red apple was placed. This action sequence ensures that both apples are distributed appropriately across the table, reflecting the inferred human intent of comparing or choosing between them by positioning them distinctly apart.</t>
  </si>
  <si>
    <t xml:space="preserve">Classify the apples into groups like this.</t>
  </si>
  <si>
    <t xml:space="preserve">The robot should first pick up the red apple (object2) and place it anywhere on the right side of the table. After completing this action, the robot should then pick up the green apple (object3) and place it anywhere on the left side of the table. This sequence ensures that each apple is handled individually and placed in its designated area based on color.</t>
  </si>
  <si>
    <t xml:space="preserve">The purpose is for the robot to classify the apples into groups based on their color as indicated by the human's pointing gesture in the image. To achieve this, the robot must perform the following actions: Move its hand to the position of the green apple using the x and y coordinates provided. Grasp the green apple if it is not already grasped. Move its hand to a designated area on the table for grouping or sorting objects based on color. Release the green apple in this designated area, effectively placing it into the "green" group. Move its hand to the position of the red apple using the x and y coordinates provided. Grasp the red apple if it is not already grasped. Return to the same designated area on the table for grouping or sorting objects based on color. Release the red apple in this designated area, effectively placing it into the "red" group. These actions ensure that the apples are classified and grouped according to their colors as inferred from the human's pointing gesture in the image.</t>
  </si>
  <si>
    <t xml:space="preserve">Place the apples where they belong like this.</t>
  </si>
  <si>
    <t xml:space="preserve">The robot should grasp the red apple (object2) and place it in any position within the right area of the table, which is defined as the space to the right of the central red line. Similarly, the robot should then grasp the green apple (object3) and place it in any position within the left area of the table, which is defined as the space to the left of the central red line.</t>
  </si>
  <si>
    <t xml:space="preserve">The robot's purpose is to place the red apple (object2) and the green apple (object3) on specific sides of the table as indicated by the person in the image. The robot should grasp the red apple using its hand, move it to a position on the right side of the table, and release it there. Then, the robot should grasp the green apple, move it to a position on the left side of the table, and release it there. This action aligns with the person's indication in the image where they point to each apple with their respective hands, suggesting a desired placement for each apple on opposite sides of the table.</t>
  </si>
  <si>
    <t xml:space="preserve">Separate the apples according to their color like this.</t>
  </si>
  <si>
    <t xml:space="preserve">The purpose is for the robot to separate apples based on their color: it should grasp the red apple (object2) and place it in any location within the right half of the table, defined by x-coordinates between 0.5 and 1. Then, the robot should grasp the green apple (object3) and place it in any location within the left half of the table, defined by x-coordinates between 0 and 0.5.</t>
  </si>
  <si>
    <t xml:space="preserve">The purpose is to separate the red and green apples on the table. To achieve this, the robot must first grasp the red apple (object2) using its robotic arm, then move it to a designated location that distinguishes it from the green apple (object3). After placing the red apple down, the robot should release it. Next, the robot needs to grasp the green apple and similarly move it to another distinct location on the table where it can be placed separately from the red apple. Finally, the robot must release the green apple at its designated spot, ensuring that both apples are now separated according to their color.</t>
  </si>
  <si>
    <t xml:space="preserve">Ensure the apples are arranged correctly like this.</t>
  </si>
  <si>
    <t xml:space="preserve">The robot's purpose is to pick up the red apple and place it anywhere on the right side of the table, then pick up the green apple and place it anywhere on the left side of the table, ensuring there is a noticeable distance between them as depicted in the image.</t>
  </si>
  <si>
    <t xml:space="preserve">The robot's purpose is to arrange the red apple (object2) and the green apple (object3) on the table such that they are positioned on either side of an imaginary vertical line in the center of the table. The robot must grasp each apple individually, ensuring its hand state changes from 0 to 1 when holding an object. First, it should move its hand to the position corresponding to the red apple's coordinates and grasp it. Then, it needs to place the red apple on one side of the central line. Next, the robot should move to the green apple's location, grasp it, and then place it on the opposite side of the line from where the red apple is positioned. This arrangement mirrors the scene described in the image provided by the human.</t>
  </si>
  <si>
    <t xml:space="preserve">Organize the items by their characteristics like this.</t>
  </si>
  <si>
    <t xml:space="preserve">The purpose is for the robot to separate two apples by moving them to opposite sides of the table: the red apple should be placed anywhere on the right side, and the green apple should be positioned anywhere on the left side. The robot will first grasp the red apple and move it to a location within the right half of the table. After releasing the red apple, the robot will then grasp the green apple and relocate it to a position within the left half of the table.</t>
  </si>
  <si>
    <t xml:space="preserve">The human's purpose involves organizing items on the table by their characteristics and making a selection based on inferred intent from visual cues. Specifically, the task requires the robot to identify and differentiate between two apples: one green (object3) and one red (object2), both with a normalized diameter of 0.4 and in state 0. The human is pointing at each apple, suggesting an intention for the robot to interact with them. The presence of a red line between the apples may indicate a division or choice that the robot should consider. To fulfill this purpose, the robot must grasp one of the apples based on the visual cues provided by the person's gestures and the spatial arrangement indicated by the red line.</t>
  </si>
  <si>
    <t xml:space="preserve">Help me keep the apples organized by color like this.</t>
  </si>
  <si>
    <t xml:space="preserve">The robot should organize the apples by color: grasp and place all red apples (object2) on the right side of the table and all green apples (object3) on the left side of the table. The specific positions on each side are not fixed, allowing flexibility in placement as long as they adhere to their respective sides based on color.</t>
  </si>
  <si>
    <t xml:space="preserve">The purpose is to organize apples by color on the table, as demonstrated in the image where a person holds and positions a green apple on the left side of the table and a red apple on the right side. The robot should grasp each apple based on its color and place them accordingly: the green apple should be positioned on the left side of the table, while the red apple should be placed on the right side. This involves moving the robotic arm to the positions where the apples are located, grasping each one by identifying their colors (green for the first apple and red for the second), and then placing them in their respective designated areas on the table.</t>
  </si>
  <si>
    <t xml:space="preserve">Put the objects in their designated spots like this.</t>
  </si>
  <si>
    <t xml:space="preserve">The robot's task is to ensure that the red apple is positioned on the right side of the table and the green apple on the left side. The robot will first identify and move the red apple so its x_position is greater than 0.5, placing it anywhere within the right half of the table. Next, the robot will locate the green apple and position it with an x_position less than or equal to 0.5, ensuring it is on the left side of the table.</t>
  </si>
  <si>
    <t xml:space="preserve">The purpose is for the robot to place objects in designated spots as shown in the image Apples_2.jpeg. In this scenario, there are two apples: a red apple and a green apple, each with a normalized diameter of 0.4. The scene includes a person pointing at these apples, indicating potential interest or selection between them. The robot's task involves positioning itself to interact with these objects based on their current locations on the table. Specifically, the robot should move its hand to the x and y coordinates corresponding to each apple's position. For the red apple, it must align its hand to the right side of the table where the red apple is located, and for the green apple, it must adjust to the left side. The robot will then grasp the selected apple by ensuring its hand state changes from 0 (not grasped) to 1 (grasped). After picking up an apple, the robot should move its hand to a designated spot on the table, which could be inferred as a specific area based on the human's pointing gesture or any other contextual cues provided in the image. This involves adjusting the x and y coordinates of the robot's hand to place the apple down gently, ensuring it is positioned correctly according to the intended arrangement shown in the image.</t>
  </si>
  <si>
    <t xml:space="preserve">Group similar apples together on the table like this.</t>
  </si>
  <si>
    <t xml:space="preserve">The robot should separate the apples by color: it needs to identify the red apple (object2) and the green apple (object3). The robot will then move the red apple to the right side of the table and the green apple to the left side. This ensures that all red apples are grouped together on one side, and all green apples are grouped together on the opposite side.</t>
  </si>
  <si>
    <t xml:space="preserve">The purpose is for the robot to group similar apples together on the table. This involves moving the red apple (Object 2) and the green apple (Object 3) so that they are positioned closer to each other, forming a cluster of similar items. The robot must grasp the red apple first by aligning its hand with the apple's x and y coordinates, then move it towards the green apple's position. After releasing the red apple near the green apple, the robot should repeat the process for the green apple, ensuring both apples are grouped together on the table surface.</t>
  </si>
  <si>
    <t xml:space="preserve">Make sure the apples are placed in the right areas like this.</t>
  </si>
  <si>
    <t xml:space="preserve">The robot must first grasp the red apple (object2) using its robotic arm and move it to the right side of a dividing line on the table, ensuring it is placed in the designated area. After successfully placing the red apple, the robot should proceed to pick up the green apple (object3), transport it across the table, and place it on the left side of the same dividing line. The task involves precise positioning for both apples according to their respective sides.</t>
  </si>
  <si>
    <t xml:space="preserve">The purpose is for the robot to place the green apple on the left side of the table and the red apple on the right side, divided by a vertical line running across the center of the table. The robot should grasp the green apple (object3) and move it to the left half of the table, ensuring its position aligns with the area defined as "left" relative to the dividing line. Similarly, the robot should then grasp the red apple (object2) and place it on the right side of the table, corresponding to the area defined as "right" by the same vertical line. This action involves moving the robot's hand to the respective x-positions for each apple, ensuring they are placed in their designated areas without any additional objects like buttons interfering with the task.</t>
  </si>
  <si>
    <t xml:space="preserve">Keep the apples on the table so sorted by color like this.</t>
  </si>
  <si>
    <t xml:space="preserve">The robot should sort the apples by color on the table. It needs to pick each apple and place red apples on the right side of the table and green apples on the left side. This involves identifying the colors, picking up any misplaced apples, and positioning them correctly according to their color.</t>
  </si>
  <si>
    <t xml:space="preserve">The purpose for the robot involves sorting the apples by their colors and placing them on opposite sides of a table, as indicated by the image description. Specifically, the robot should grasp the green apple and move it to the left side of the table while ensuring that the red apple is placed on the right side. This action aligns with the human's intent inferred from the scene where a person points to each apple with their respective hands, suggesting a desired separation by color across a dividing line on the table surface. The robot must achieve this sorting without altering any other attributes of the apples or introducing additional actions beyond those necessary for positioning them correctly according to their colors.</t>
  </si>
  <si>
    <t xml:space="preserve">Arrange and place apples based on their type like this.</t>
  </si>
  <si>
    <t xml:space="preserve">To fulfill the human's purpose, the robot should perform the following actions: First, identify the apples by their color using the sensor data. Once identified, grasp the red apple (object2) with its robotic arm and move it to a specified position on the right side of the table. After placing the red apple down, release it to ensure it is stationary. Next, grasp the green apple (object3), move it to a designated position on the left side of the table, and then release it as well. This sequence ensures that each apple is placed in its respective area based on color type.</t>
  </si>
  <si>
    <t xml:space="preserve">The purpose is to arrange and place apples based on their type as indicated in the image description. Specifically, the robot should identify the green apple (object3) and the red apple (object2), both with a normalized diameter of 0.4, and position them according to their colors. The robot must grasp each apple individually using its robotic arm and place them on designated areas on the table that correspond to their color type: one area for the green apple and another for the red apple. This involves moving the robot's hand to the x and y coordinates of each apple, grasping it when the state is 0 (not pressed), and then relocating it to its respective position based on the inferred human intent from the image description.</t>
  </si>
  <si>
    <t xml:space="preserve">Column1</t>
  </si>
  <si>
    <t xml:space="preserve">Column4</t>
  </si>
  <si>
    <t xml:space="preserve">Column5</t>
  </si>
  <si>
    <t xml:space="preserve">Column6</t>
  </si>
  <si>
    <t xml:space="preserve">Column7</t>
  </si>
  <si>
    <t xml:space="preserve">Apples-Missions</t>
  </si>
  <si>
    <t xml:space="preserve">Missions with feedback</t>
  </si>
  <si>
    <t xml:space="preserve">Total proposed missions</t>
  </si>
  <si>
    <t xml:space="preserve">Invalid missions</t>
  </si>
  <si>
    <t xml:space="preserve">Valid missions</t>
  </si>
  <si>
    <t xml:space="preserve">Ideal missions</t>
  </si>
  <si>
    <t xml:space="preserve">1</t>
  </si>
  <si>
    <t xml:space="preserve">[['red_apple_in_hand', 0.3], ['red_apple_on_right_half_table', 0.4], ['release_red_apple', 0.5], ['green_apple_in_hand', 0.6], ['green_apple_on_left_half_table', 0.7], ['release_green_apple', 0.8]]</t>
  </si>
  <si>
    <t xml:space="preserve">2</t>
  </si>
  <si>
    <t xml:space="preserve">[['red_apple_in_hand', 0.3], ['green_apple_in_hand', 0.4], ['red_apple_right_area', 0.5], ['green_apple_left_area', 0.6]]</t>
  </si>
  <si>
    <t xml:space="preserve">3</t>
  </si>
  <si>
    <t xml:space="preserve">[['red_apple_in_hand', 0.3], ['red_apple_on_right_side', 0.4], ['green_apple_in_hand', 0.5], ['green_apple_on_left_side', 0.6]]</t>
  </si>
  <si>
    <t xml:space="preserve">4</t>
  </si>
  <si>
    <t xml:space="preserve">[['apple_in_hand', 0.3], ['red_apple_right_half', 0.5], ['green_apple_left_half', 0.7]]</t>
  </si>
  <si>
    <t xml:space="preserve">Summary</t>
  </si>
  <si>
    <t xml:space="preserve">5</t>
  </si>
  <si>
    <t xml:space="preserve">[['red_apple_in_hand', 0.4], ['red_apple_on_right_side', 0.6], ['green_apple_in_hand', 0.7], ['green_apple_on_left_side', 1.0]]</t>
  </si>
  <si>
    <t xml:space="preserve">Feedback in the alignment</t>
  </si>
  <si>
    <t xml:space="preserve">No feedback in the alignment</t>
  </si>
  <si>
    <t xml:space="preserve">6</t>
  </si>
  <si>
    <t xml:space="preserve">[['red_apple_in_hand', 0.4], ['green_apple_in_hand', 0.6], ['red_apple_right_of_center', 0.8], ['green_apple_left_of_center', 1.0]]</t>
  </si>
  <si>
    <t xml:space="preserve">Valid iterations</t>
  </si>
  <si>
    <t xml:space="preserve">Invalid iterations</t>
  </si>
  <si>
    <t xml:space="preserve">7</t>
  </si>
  <si>
    <t xml:space="preserve">[['red_apple_in_hand', 0.4], ['green_apple_in_hand', 0.6], ['red_apple_right_half_table', 0.7], ['green_apple_left_half_table', 0.9]]</t>
  </si>
  <si>
    <t xml:space="preserve">8</t>
  </si>
  <si>
    <t xml:space="preserve">9</t>
  </si>
  <si>
    <t xml:space="preserve">10</t>
  </si>
  <si>
    <t xml:space="preserve">[['red_apple_in_hand', 0.4], ['green_apple_in_hand', 0.3], ['red_apple_on_right_side', 0.5], ['green_apple_on_left_side', 0.6]]</t>
  </si>
  <si>
    <t xml:space="preserve">11</t>
  </si>
  <si>
    <t xml:space="preserve">[['red_apple_right_side', 0.6], ['green_apple_left_side', 0.8]]</t>
  </si>
  <si>
    <t xml:space="preserve">12</t>
  </si>
  <si>
    <t xml:space="preserve">[['red_apple_in_hand', 0.3], ['green_apple_in_hand', 0.4], ['red_apple_on_right_side', 0.5], ['green_apple_on_left_side', 0.6]]</t>
  </si>
  <si>
    <t xml:space="preserve">13</t>
  </si>
  <si>
    <t xml:space="preserve">[['red_apple_in_hand', 0.2], ['red_apple_on_right_side', 0.4], ['green_apple_in_hand', 0.6], ['green_apple_on_left_side', 0.8]]</t>
  </si>
  <si>
    <t xml:space="preserve">14</t>
  </si>
  <si>
    <t xml:space="preserve">[['apple_in_hand', 0.3], ['red_apple_on_right_side', 0.6], ['green_apple_on_left_side', 0.9]]</t>
  </si>
  <si>
    <t xml:space="preserve">15</t>
  </si>
  <si>
    <t xml:space="preserve">[['apple2_in_hand', 0.4], ['red_apple_on_right_side', 0.6], ['green_apple_in_hand', 0.7], ['green_apple_on_left_side', 0.8]]</t>
  </si>
  <si>
    <t xml:space="preserve">TOTAL</t>
  </si>
  <si>
    <t xml:space="preserve">%</t>
  </si>
  <si>
    <t xml:space="preserve">Missions without feedback</t>
  </si>
  <si>
    <t xml:space="preserve">Total missions</t>
  </si>
  <si>
    <t xml:space="preserve">[['apple1_in_hand', 0.3], ['apple2_in_hand', 0.4], ['green_apple_left_side', 0.5], ['red_apple_right_side', 0.6]]</t>
  </si>
  <si>
    <t xml:space="preserve">[['object3_in_green_apple_area', 0.6], ['object2_in_red_apple_area', 0.8]]</t>
  </si>
  <si>
    <t xml:space="preserve">[['object2_in_hand', 0.3], ['object3_in_hand', 0.4], ['button_positioned_correctly', 0.5]]</t>
  </si>
  <si>
    <t xml:space="preserve">[['apple2_in_hand', 0.3], ['apple2_on_left_side', 0.4], ['apple3_in_hand', 0.5], ['apple3_on_right_side', 0.6]]</t>
  </si>
  <si>
    <t xml:space="preserve">[['object3_in_hand', 0.4], ['object2_in_hand', 0.6], ['green_apple_in_green_area', 0.8], ['red_apple_in_red_area', 1.0]]</t>
  </si>
  <si>
    <t xml:space="preserve">[['object2_in_hand', 0.3], ['object2_on_right_side', 0.4], ['object3_in_hand', 0.5], ['object3_on_left_side', 0.6]]</t>
  </si>
  <si>
    <t xml:space="preserve">[['red_apple_in_hand', 0.3], ['red_apple_at_designated_location', 0.4], ['green_apple_in_hand', 0.5], ['green_apple_at_designated_location', 0.6]]</t>
  </si>
  <si>
    <t xml:space="preserve">[['object2_in_hand', 0.3], ['red_apple_left_of_center', 0.4], ['object3_in_hand', 0.5], ['green_apple_right_of_center', 0.6]]</t>
  </si>
  <si>
    <t xml:space="preserve">[['apple_in_hand', 0.6], ['button_not_pressed', 0.4]]</t>
  </si>
  <si>
    <t xml:space="preserve">[['apple1_in_hand', 0.3], ['apple2_in_hand', 0.4], ['apple1_at_designated_spot', 0.5], ['apple2_at_designated_spot', 0.6]]</t>
  </si>
  <si>
    <t xml:space="preserve">[['object2_in_hand', 0.3], ['object2_near_object3', 0.4], ['object3_in_hand', 0.5], ['object3_near_object2', 0.6]]</t>
  </si>
  <si>
    <t xml:space="preserve">[['object3_in_hand', 0.4], ['object3_on_left_side', 0.6], ['object2_in_hand', 0.7], ['object2_on_right_side', 0.9]]</t>
  </si>
  <si>
    <t xml:space="preserve">[['object2_in_hand', 0.3], ['object2_on_left_side', 0.4], ['object3_in_hand', 0.5], ['object3_on_right_side', 0.6]]</t>
  </si>
  <si>
    <t xml:space="preserve">[['apple_in_hand', 0.3], ['green_apple_placed', 0.5], ['red_apple_placed', 0.7]]</t>
  </si>
  <si>
    <t xml:space="preserve">Column2</t>
  </si>
  <si>
    <t xml:space="preserve">Column3</t>
  </si>
  <si>
    <t xml:space="preserve">Apples-Drives</t>
  </si>
  <si>
    <t xml:space="preserve">Item</t>
  </si>
  <si>
    <t xml:space="preserve">Result</t>
  </si>
  <si>
    <t xml:space="preserve">Initial drives</t>
  </si>
  <si>
    <t xml:space="preserve">[['abs(robot_hand.x_position - object2.x_position) + abs(robot_hand.y_position - object2.y_position) + abs(robot_hand.state - 1)'], ['max(0, 0.5 - object2.x_position)'], ['robot_hand.state'], ['abs(robot_hand.x_position - object3.x_position) + abs(robot_hand.y_position - object3.y_position) + abs(robot_hand.state - 1)'], ['max(0, object3.x_position - 0.5)'], ['robot_hand.state']]</t>
  </si>
  <si>
    <t xml:space="preserve">Total drive functions</t>
  </si>
  <si>
    <t xml:space="preserve">Invalid drive functions</t>
  </si>
  <si>
    <t xml:space="preserve">Valid drive functions</t>
  </si>
  <si>
    <t xml:space="preserve">[['max(0, 1 - robot_hand.state) + max(0, abs(object2.x_position - robot_hand.x_position) + abs(object2.y_position - robot_hand.y_position))'], ['max(0, 1 - robot_hand.state) + max(0, abs(object3.x_position - robot_hand.x_position) + abs(object3.y_position - robot_hand.y_position))'], ['max(0, 0.5 - object2.x_position)'], ['max(0, object3.x_position - 0.5)']]</t>
  </si>
  <si>
    <t xml:space="preserve">[['max((1 - robot_hand.state), abs(object2.x_position - robot_hand.x_position) + abs(object2.y_position - robot_hand.y_position))'], ['(1 - ((object2.x_position - 1)**2)) + abs(object2.y_position - object2.y_position)'], ['max((1 - robot_hand.state), abs(object3.x_position - robot_hand.x_position) + abs(object3.y_position - robot_hand.y_position))'], ['(object3.x_position**2) + abs(object3.y_position - object3.y_position)']]</t>
  </si>
  <si>
    <t xml:space="preserve">[['(1 - robot_hand.state)'], ['max(0, 0.5 - object2.x_position)'], ['max(0, object3.x_position - 0.5)']]</t>
  </si>
  <si>
    <t xml:space="preserve">[['(1 - robot_hand.state) + (abs(object2.x_position - robot_hand.x_position) + abs(object2.y_position - robot_hand.y_position))'], ['(1 - robot_hand.state) + max(0, 0.5 - object2.x_position)'], ['(1 - robot_hand.state) + (abs(object3.x_position - robot_hand.x_position) + abs(object3.y_position - robot_hand.y_position))'], ['(1 - robot_hand.state) + max(0, object3.x_position - 0.5)']]</t>
  </si>
  <si>
    <t xml:space="preserve">[['(1 - robot_hand.state) + ((object2.x_position - robot_hand.x_position) ** 2 + (object2.y_position - robot_hand.y_position) ** 2)'], ['(1 - robot_hand.state) + ((object3.x_position - robot_hand.x_position) ** 2 + (object3.y_position - robot_hand.y_position) ** 2)'], ['max(0, 0.5 - object2.x_position)'], ['max(0, object3.x_position - 0.5)']]</t>
  </si>
  <si>
    <t xml:space="preserve">[['max(0, 1 - robot_hand.state) + max(0, abs(object2.x_position - robot_hand.x_position) + abs(object2.y_position - robot_hand.y_position)) * (1 - robot_hand.state)'], ['max(0, 1 - robot_hand.state) + max(0, abs(object3.x_position - robot_hand.x_position) + abs(object3.y_position - robot_hand.y_position)) * (1 - robot_hand.state)'], ['max(0, 0.5 - object2.x_position)'], ['max(0, object3.x_position - 0.5)']]</t>
  </si>
  <si>
    <t xml:space="preserve">[['abs(object2.x_position - robot_hand.x_position) + abs(object2.y_position - robot_hand.y_position) + (1 - robot_hand.state)'], ['max(0, 0.5 - object2.x_position)'], ['abs(object3.x_position - robot_hand.x_position) + abs(object3.y_position - robot_hand.y_position) + (1 - robot_hand.state)'], ['max(0, object3.x_position - 0.5)']]</t>
  </si>
  <si>
    <t xml:space="preserve">[['max(0, 1 - robot_hand.state) + max(0, abs(object2.x_position - robot_hand.x_position) + abs(object2.y_position - robot_hand.y_position))'], ['max(0, 0.5 - object2.x_position)'], ['max(0, 1 - robot_hand.state) + max(0, abs(object3.x_position - robot_hand.x_position) + abs(object3.y_position - robot_hand.y_position))'], ['max(0, object3.x_position - 0.5)']]</t>
  </si>
  <si>
    <t xml:space="preserve">[['object2.x_position * (1 - robot_hand.state) + abs(object2.y_position - robot_hand.y_position) * (1 - robot_hand.state)'], ['object3.x_position * (1 - robot_hand.state) + abs(object3.y_position - robot_hand.y_position) * (1 - robot_hand.state)'], ['max(0, 0.5 - object2.x_position)'], ['max(0, object3.x_position - 0.5)']]</t>
  </si>
  <si>
    <t xml:space="preserve">[['max(0, 0.5 - object2.x_position)'], ['max(0, object3.x_position - 0.5)']]</t>
  </si>
  <si>
    <t xml:space="preserve">[['abs(robot_hand.state - 1) + abs(object2.x_position - robot_hand.x_position) + abs(object2.y_position - robot_hand.y_position)'], ['abs(robot_hand.state - 1) + abs(object3.x_position - robot_hand.x_position) + abs(object3.y_position - robot_hand.y_position)'], ['(1 - object2.x_position)**2'], ['(object3.x_position)**2']]</t>
  </si>
  <si>
    <t xml:space="preserve">[['(1 - robot_hand.state) + (abs(object2.x_position - robot_hand.x_position) + abs(object2.y_position - robot_hand.y_position))'], ['max(0, 0.5 - object2.x_position)'], ['(1 - robot_hand.state) + (abs(object3.x_position - robot_hand.x_position) + abs(object3.y_position - robot_hand.y_position))'], ['max(0, object3.x_position - 0.5)']]</t>
  </si>
  <si>
    <t xml:space="preserve">[['min(abs(robot_hand.state - 1), abs(object2.x_position - robot_hand.x_position) + abs(object2.y_position - robot_hand.y_position), abs(object3.x_position - robot_hand.x_position) + abs(object3.y_position - robot_hand.y_position))'], ['(1 - object2.x_position)**2'], ['(object3.x_position)**2']]</t>
  </si>
  <si>
    <t xml:space="preserve">[['max(0, 1 - robot_hand.state) + abs(object2.x_position - robot_hand.x_position) + abs(object2.y_position - robot_hand.y_position)'], ['abs(object2.x_position - 1) + abs(object2.y_position - 0.5)'], ['max(0, 1 - robot_hand.state) + abs(object3.x_position - robot_hand.x_position) + abs(object3.y_position - robot_hand.y_position)'], ['abs(object3.x_position - 0) + abs(object3.y_position - 0.5)']]</t>
  </si>
  <si>
    <t xml:space="preserve">TOTAL invalid drive functions</t>
  </si>
  <si>
    <t xml:space="preserve">TOTAL valid drive functions</t>
  </si>
  <si>
    <t xml:space="preserve">% valid drive functions</t>
  </si>
  <si>
    <t xml:space="preserve">Results: SEMANTIC SIMILARITY EXPERIMENT CLASSIFY THE CYLINDERS BY COLOR</t>
  </si>
  <si>
    <t xml:space="preserve">The robot must arrange the cylinders by color into baskets. First it has to reach the red cylinder (object2) with its hand, grasp it and pick it up. Then, the robot should move its hand with the red cylinder picked to the green basket (object4) and release it into the basket. After that, the robot should move its hand to the blue cylinder and grasp it. Then, the robot should take the blue cylinder (object3) to the position of the yellow basket (object5) and place the blue cylinder into the yellow basket.</t>
  </si>
  <si>
    <t xml:space="preserve">Arrange the cylinders based on their color like this.</t>
  </si>
  <si>
    <t xml:space="preserve">The purpose is for the robot to arrange the cylinders based on their color by placing them in specific baskets: first, move the blue cylinder into the yellow basket, and then move the red cylinder into the green basket.</t>
  </si>
  <si>
    <t xml:space="preserve">The robot's task is to arrange the red and blue cylinders into their respective baskets based on their colors. The robot should first grasp the red cylinder, identified as object2, and place it in the green basket, identified as object4. Next, the robot should grasp the blue cylinder, identified as object3, and place it in the yellow basket, identified as object5. This sequence of actions fulfills the human's inferred intent to organize or highlight the color-coded matching of cylinders within the baskets.</t>
  </si>
  <si>
    <t xml:space="preserve">Classify all items on the table into their correct containers like this.</t>
  </si>
  <si>
    <t xml:space="preserve">The robot's purpose is to identify the red cylinder and the blue cylinder on the table, regardless of their initial positions. Once identified, the robot must move the red cylinder into the green basket and the blue cylinder into the yellow basket, ensuring they are positioned as depicted in the image provided by the human. No further actions are required after placing them correctly.</t>
  </si>
  <si>
    <t xml:space="preserve">The purpose is for the robot to classify all items on the table into their correct containers by placing each cylinder into its corresponding basket based on color matching. Specifically, the robot must grasp the red cylinder (object2) and place it inside the green basket (object4), then grasp the blue cylinder (object3) and place it inside the yellow basket (object5). This involves moving the robotic arm to the positions of each object, grasping them when their states allow, and accurately positioning them into the designated baskets.</t>
  </si>
  <si>
    <t xml:space="preserve">Organize objects on the table by color like this.</t>
  </si>
  <si>
    <t xml:space="preserve">The robot should organize objects by color on the table by placing each cylinder into its corresponding basket based on their colors. Specifically, the robot needs to identify and grasp the red cylinder, move it to the green basket, and release it inside. Then, it should identify and grasp the blue cylinder, move it to the yellow basket, and release it there as well.</t>
  </si>
  <si>
    <t xml:space="preserve">The purpose is to organize objects on the table by color according to the image description provided. Specifically, the robot should ensure that the blue cylinder (object3) remains inside the yellow basket (object5), and the red cylinder (object2) stays within the green basket (object4). This involves positioning the robot's hand to grasp each cylinder if necessary and placing it into its corresponding basket based on their colors. The task requires precise movements of the robotic arm to align with the x and y positions of both cylinders and baskets, ensuring that each cylinder is correctly sorted according to the color-based organization demonstrated in the image.</t>
  </si>
  <si>
    <t xml:space="preserve">Put each cylinder where it belongs like this.</t>
  </si>
  <si>
    <t xml:space="preserve">The robot should first locate the red cylinder on the table and grasp it with its robotic arm. Once grasped, the robot should move to the position of the green basket and release the red cylinder inside it. Afterward, the robot should locate the blue cylinder, grasp it, and then proceed to the yellow basket to place the blue cylinder inside. This sequence ensures that each cylinder is placed in its respective basket as per your instructions.</t>
  </si>
  <si>
    <t xml:space="preserve">The purpose for the robot involves placing each cylinder into its corresponding basket as indicated in the image description. Specifically, the robot must perform the following actions: Grasp the blue cylinder and move it to place inside the yellow basket on the left side of the table, then release it within the basket. Next, grasp the red cylinder and move it to place inside the green basket on the right side of the table, then release it within the basket. These actions ensure that each cylinder is correctly positioned in its respective basket as depicted in the image description provided by the human.</t>
  </si>
  <si>
    <t xml:space="preserve">Sort all the pieces into the corresponding baskets like this.</t>
  </si>
  <si>
    <t xml:space="preserve">The robot's purpose is to sort two cylinders by their colors into corresponding baskets on a table. The task requires the robot to identify the red cylinder and place it inside the green basket, as well as identify the blue cylinder and place it in the yellow basket. This involves using its sensors to detect the color of each object, grasping them with its robotic arm, and accurately positioning them within their designated baskets based on color matching.</t>
  </si>
  <si>
    <t xml:space="preserve">The purpose for the robot involves sorting cylinders into their corresponding baskets based on color coordination as depicted in the image description. Specifically, the robot must ensure that a red cylinder is placed in a green basket and a blue cylinder is placed in a yellow basket. This requires the robot to identify these specific objects by their colors and diameters, then move them accordingly using its arm to grasp each cylinder and place it into the designated basket. The robot's actions include grasping the red cylinder from its current position and placing it into the green basket, followed by grasping the blue cylinder and placing it into the yellow basket. These concrete movements fulfill the human's intent of sorting the cylinders as shown in the image description.</t>
  </si>
  <si>
    <t xml:space="preserve">Distribute the items by color into appropriate containers like this.</t>
  </si>
  <si>
    <t xml:space="preserve">The robot's task is to first locate and grasp the red cylinder, then move it into the green basket. Afterward, the robot should locate and grasp the blue cylinder and place it inside the yellow basket. This sequence ensures that each colored object ends up in its designated container based on your specified criteria.</t>
  </si>
  <si>
    <t xml:space="preserve">The purpose involves distributing objects by color into appropriate containers on the table. Specifically, the robot should grasp and place the blue cylinder (object3) into the yellow basket (object5), and the red cylinder (object2) into the green basket (object4). The robot must move its hand to the positions of these objects and baskets, adjust its grip to pick up each object when not already grasped, and then release them into their respective containers. This involves moving the robot's hand to the x and y coordinates of object3 and object2, ensuring they are grasped, then navigating to the corresponding basket locations for object5 and object4, and releasing the objects there.</t>
  </si>
  <si>
    <t xml:space="preserve">The purpose is for the robot to organize cylinders by color into specific baskets on a table. First, the robot should locate and grasp the blue cylinder (Object 3) and place it in the yellow basket (Object 5). Next, the robot should find and grasp the red cylinder (Object 2) and position it in the green basket (Object 4). This arrangement ensures that each cylinder is sorted into a container matching its color.</t>
  </si>
  <si>
    <t xml:space="preserve">The purpose is for the robot to sort and organize the blue cylinder and red cylinder based on their colors into separate baskets. Specifically, the robot should move the blue cylinder from its current position inside the yellow basket to a new location where it can be sorted by color. Similarly, the robot should relocate the red cylinder from within the green basket to another designated area for sorting by color. This involves grasping each cylinder and placing them into separate baskets or areas that correspond to their respective colors, ensuring they are organized according to the human's intent as inferred from the image description.</t>
  </si>
  <si>
    <t xml:space="preserve">Place each object in its designated container like this.</t>
  </si>
  <si>
    <t xml:space="preserve">The robot should move the red cylinder and place it inside the green basket, then move the blue cylinder and place it inside the yellow basket. There are no specific positions required within the baskets once placed, and no additional actions or interactions with other objects are necessary.</t>
  </si>
  <si>
    <t xml:space="preserve">The purpose is to place each object in its designated container as shown in the image. Specifically, the robot must grasp and move the red cylinder into a green basket and the blue cylinder into a yellow basket. The actions involve positioning the robotic arm to align with the x and y coordinates of each cylinder, grasping them when the hand state is 0 (not holding an object), and then moving the cylinders to their respective baskets by adjusting the robot's hand position to match the x and y coordinates of the green and yellow baskets. The robot must ensure that the diameter of the baskets accommodates the cylinders during placement.</t>
  </si>
  <si>
    <t xml:space="preserve">Separate the colored items into their respective baskets like this.</t>
  </si>
  <si>
    <t xml:space="preserve">The purpose is to have the robot sort colored cylinders into specific baskets based on their colors. The robot should perform the following actions: 
First, grasp the red cylinder and move it to the green basket. Once the red cylinder is securely placed inside the green basket, release it. Next, grasp the blue cylinder and move it to the yellow basket. After placing the blue cylinder in the yellow basket, ensure it is released properly. These actions will result in each colored cylinder being sorted into its respective basket as indicated by the human's instructions.</t>
  </si>
  <si>
    <t xml:space="preserve">The purpose is for the robot to organize objects by placing each cylinder into its corresponding basket based on color. Specifically, the robot should grasp the red cylinder and place it in the green basket, then grasp the blue cylinder and place it in the yellow basket. This involves moving the robot's hand to the positions of the cylinders, grasping them, and then moving the hand to the respective baskets to release each cylinder into its designated location.</t>
  </si>
  <si>
    <t xml:space="preserve">Sort the cylinders on the table like this.</t>
  </si>
  <si>
    <t xml:space="preserve">The robot will first identify the red cylinder on the table and grasp it. It will then move to the green basket and release the red cylinder inside, ensuring it is properly placed. Once this task is completed, the robot will locate the blue cylinder, grasp it, and proceed to place it into the yellow basket, completing the sorting process.</t>
  </si>
  <si>
    <t xml:space="preserve">The purpose for the robot involves organizing the cylinders on the table according to their current arrangement within baskets. Specifically, the robot must ensure that the blue cylinder is inside the yellow basket and the red cylinder is inside the green basket. This task requires the robot to grasp each cylinder individually and place it into its corresponding basket based on the observed configuration in the image provided by the human.</t>
  </si>
  <si>
    <t xml:space="preserve">Assign each cylinder to the correct basket based on its color like this.</t>
  </si>
  <si>
    <t xml:space="preserve">The purpose is for the robot to rearrange the cylinders on the table by placing each in its corresponding colored basket. The robot should grasp the red cylinder and move it into the green basket, then grasp the blue cylinder and place it into the yellow basket. This involves identifying the positions of both the cylinders and baskets, grasping each cylinder, moving them to their respective baskets, and releasing them there.</t>
  </si>
  <si>
    <t xml:space="preserve">The purpose is for the robot to place each cylinder into its corresponding basket based on color: the red cylinder should be placed in the green basket and the blue cylinder should be placed in the yellow basket. The robot must first grasp the red cylinder, then move it to the position of the green basket, and release it inside. Afterward, the robot needs to grasp the blue cylinder, move it to the position of the yellow basket, and release it there as well.</t>
  </si>
  <si>
    <t xml:space="preserve">Organize the objects on the table by color like this.</t>
  </si>
  <si>
    <t xml:space="preserve">The robot's task is to organize objects on a table by color, specifically placing a red cylinder into a green basket and then a blue cylinder into a yellow basket. The sequence begins with the robot identifying and grasping the red cylinder using its robotic arm. Once secured, it will move the red cylinder to the green basket and place it inside. After completing this action, the robot will locate the blue cylinder, grasp it, and subsequently place it into the yellow basket. This ensures that the red cylinder is placed first as per your instructions.</t>
  </si>
  <si>
    <t xml:space="preserve">The purpose is for the robot to organize objects by color according to an image showing a person indicating specific placements. The robot must grasp the blue cylinder and place it into the yellow basket, then grasp the red cylinder and place it into the green basket. These actions ensure that the cylinders are sorted as demonstrated in the image description.</t>
  </si>
  <si>
    <t xml:space="preserve">Place all objects in the appropriate baskets like this.</t>
  </si>
  <si>
    <t xml:space="preserve">The robot's task is to sort objects into specific baskets based on their colors in a defined order. First, the robot should move its hand to the position of the red cylinder (object2), grasp it, and transport it to the green basket (object4) located on the table. Once there, the robot should release the red cylinder into the green basket.
After completing this action, the robot should locate the blue cylinder (object3), grasp it, move to the yellow basket (object5), and place the blue cylinder inside it.</t>
  </si>
  <si>
    <t xml:space="preserve">The purpose is for the robot to place all objects in their appropriate baskets as demonstrated in the image. Specifically, this involves moving the blue cylinder into the yellow basket and the red cylinder into the green basket. The robot must grasp each cylinder individually using its robotic arm and then move it to the corresponding basket based on the color association shown: blue with yellow and red with green. Once a cylinder is placed in the correct basket, the robot should release it, ensuring that both cylinders are correctly positioned within their respective baskets as per the human's demonstrated intent.</t>
  </si>
  <si>
    <t xml:space="preserve">Sort and place the items according to their color like this.</t>
  </si>
  <si>
    <t xml:space="preserve">The robot will sort and place the items according to their color by performing the following actions: First, it will grasp the red cylinder (object2) by moving its arm to match the x and y coordinates of object2 and closing its gripper. Next, it will move above the green basket (object4), aligning with its position, and release the red cylinder into it. Then, the robot will grasp the blue cylinder (object3) by adjusting its arm to the coordinates of object3 and closing its gripper. Finally, it will place the blue cylinder in the yellow basket (object5) by moving above it, aligning with its position, and opening its gripper to release the cylinder.</t>
  </si>
  <si>
    <t xml:space="preserve">The purpose is for the robot to sort and place items according to their color as demonstrated in the image "Cylinders_2.png." The scene involves a human pointing at two baskets on a table: a green basket containing a red cylinder, and a yellow basket containing a blue cylinder. To fulfill this purpose, the robot must perform concrete actions that involve moving its hand to specific coordinates corresponding to each object's position on the table. First, it should grasp the red cylinder from the green basket by aligning its hand with the x and y positions of the red cylinder and ensuring the state indicates an object is grasped. Next, the robot needs to move this cylinder to a designated area for red objects. Similarly, it must then grasp the blue cylinder from the yellow basket using its coordinates and place it in the area designated for blue objects. Finally, the robot should ensure that each item is correctly placed according to its color by verifying the final positions of the cylinders match their respective color-designated areas on the table.</t>
  </si>
  <si>
    <t xml:space="preserve">Each colored element has to end up in the right basket like this.</t>
  </si>
  <si>
    <t xml:space="preserve">The robot will first sort the red cylinder into the green basket by identifying its position, grasping it with its hand, transporting it to the green basket's location, and releasing it inside. Afterward, the robot will sort the blue cylinder into the yellow basket by identifying its position, grasping it, transporting it to the yellow basket's location, and finally releasing it inside.</t>
  </si>
  <si>
    <t xml:space="preserve">The purpose is for the robot to place each colored cylinder into its corresponding basket as indicated in the image: a blue cylinder should be placed in the yellow basket, and a red cylinder should be placed in the green basket. The robot must grasp the blue cylinder (object3) and move it to the yellow basket (object5), then grasp the red cylinder (object2) and place it into the green basket (object4). This involves moving the robotic arm to the positions of each object, grasping them when they are not already held, and releasing them in the correct baskets.</t>
  </si>
  <si>
    <t xml:space="preserve">Average</t>
  </si>
  <si>
    <t xml:space="preserve">Standard deviation</t>
  </si>
  <si>
    <t xml:space="preserve">Median</t>
  </si>
  <si>
    <t xml:space="preserve">Coefficient of variation</t>
  </si>
  <si>
    <t xml:space="preserve">Column8</t>
  </si>
  <si>
    <t xml:space="preserve">Cylinder-Missions</t>
  </si>
  <si>
    <t xml:space="preserve">Total</t>
  </si>
  <si>
    <t xml:space="preserve">Invalid</t>
  </si>
  <si>
    <t xml:space="preserve">Valid</t>
  </si>
  <si>
    <t xml:space="preserve">[['red_cylinder_in_hand', 0.3], ['green_basket_with_red_cylinder', 0.5], ['blue_cylinder_in_hand', 0.7], ['yellow_basket_with_blue_cylinder', 1.0]]</t>
  </si>
  <si>
    <t xml:space="preserve">[['hand_at_red_cylinder', 0.1], ['red_cylinder_in_hand', 0.2], ['hand_at_green_basket', 0.3], ['red_cylinder_in_green_basket', 0.4], ['hand_at_blue_cylinder', 0.5], ['blue_cylinder_in_hand', 0.6], ['hand_at_yellow_basket', 0.7], ['blue_cylinder_in_yellow_basket', 0.8]]</t>
  </si>
  <si>
    <t xml:space="preserve">[['red_cylinder_in_green_basket', 0.6], ['blue_cylinder_in_yellow_basket', 0.8]]</t>
  </si>
  <si>
    <t xml:space="preserve">[['object2_in_hand', 0.1], ['object2_in_object4', 0.3], ['object3_in_hand', 0.2], ['object3_in_object5', 0.4]]</t>
  </si>
  <si>
    <t xml:space="preserve">[['red_cylinder_in_green_basket', 0.3], ['blue_cylinder_in_yellow_basket', 0.4]]</t>
  </si>
  <si>
    <t xml:space="preserve">[['red_cylinder_in_hand', 0.3], ['green_basket_with_red_cylinder', 0.4], ['blue_cylinder_in_hand', 0.5], ['yellow_basket_with_blue_cylinder', 0.6]]</t>
  </si>
  <si>
    <t xml:space="preserve">[['object2_in_object4', 0.3], ['object3_in_object5', 0.7]]</t>
  </si>
  <si>
    <t xml:space="preserve">[['red_cylinder_in_green_basket', 0.6], ['blue_cylinder_in_yellow_basket', 0.7]]</t>
  </si>
  <si>
    <t xml:space="preserve">[['hand_at_red_cylinder', 0.2], ['red_cylinder_in_hand', 0.3], ['red_cylinder_in_green_basket', 0.4], ['hand_at_blue_cylinder', 0.5], ['blue_cylinder_in_hand', 0.6], ['blue_cylinder_in_yellow_basket', 0.7]]</t>
  </si>
  <si>
    <t xml:space="preserve">[['red_cylinder_in_hand', 0.3], ['red_cylinder_in_green_basket', 0.5], ['blue_cylinder_in_hand', 0.6], ['blue_cylinder_in_yellow_basket', 0.8]]</t>
  </si>
  <si>
    <t xml:space="preserve">[['object2_in_hand', 0.1], ['object2_in_object4', 0.3], ['object3_in_hand', 0.5], ['object3_in_object5', 0.7]]</t>
  </si>
  <si>
    <t xml:space="preserve">[['cylinder_in_green_basket', 0.6], ['cylinder_in_yellow_basket', 0.8]]</t>
  </si>
  <si>
    <t xml:space="preserve">[['object2_in_object4', 0.6], ['object3_in_object5', 0.8]]</t>
  </si>
  <si>
    <t xml:space="preserve">[['blue_cylinder_in_yellow_basket', 0.6], ['red_cylinder_in_green_basket', 0.8]]</t>
  </si>
  <si>
    <t xml:space="preserve">[['object3_in_hand', 0.1], ['object2_in_hand', 0.15], ['object3_in_object5', 0.25], ['object2_in_object4', 0.3]]</t>
  </si>
  <si>
    <t xml:space="preserve">[['blue_cylinder_in_hand', 0.1], ['red_cylinder_in_hand', 0.2], ['blue_cylinder_in_blue_basket', 0.3], ['red_cylinder_in_red_basket', 0.4]]</t>
  </si>
  <si>
    <t xml:space="preserve">[['cylinder_in_hand', 0.3], ['red_cylinder_in_green_basket', 0.5], ['blue_cylinder_in_yellow_basket', 0.7]]</t>
  </si>
  <si>
    <t xml:space="preserve">[['cylinder_red_in_basket_green', 0.6], ['cylinder_blue_in_basket_yellow', 0.8]]</t>
  </si>
  <si>
    <t xml:space="preserve">[['blue_cylinder_in_yellow_basket', 0.8], ['red_cylinder_in_green_basket', 0.9]]</t>
  </si>
  <si>
    <t xml:space="preserve">[['object2_in_hand', 0.1], ['object3_in_hand', 0.2], ['object2_in_yellow_basket', 0.3], ['object3_in_green_basket', 0.4]]</t>
  </si>
  <si>
    <t xml:space="preserve">[['object_in_hand_red_cylinder', 0.1], ['red_cylinder_in_red_area', 0.3], ['object_in_hand_blue_cylinder', 0.2], ['blue_cylinder_in_blue_area', 0.4]]</t>
  </si>
  <si>
    <t xml:space="preserve">[['blue_cylinder_in_yellow_basket', 0.3], ['red_cylinder_in_green_basket', 0.4]]</t>
  </si>
  <si>
    <t xml:space="preserve">Cylinders-Drives</t>
  </si>
  <si>
    <t xml:space="preserve">[['(object2.x_position - robot_hand.x_position)**2 + (object2.y_position - robot_hand.y_position)**2 + (1 - robot_hand.state)'], ['(object2.x_position - object4.x_position)**2 + (object2.y_position - object4.y_position)**2'], ['(object3.x_position - robot_hand.x_position)**2 + (object3.y_position - robot_hand.y_position)**2 + (1 - robot_hand.state)'], ['(object3.x_position - object5.x_position)**2 + (object3.y_position - object5.y_position)**2']]</t>
  </si>
  <si>
    <t xml:space="preserve">[['(1 - robot_hand.state)**2 + (robot_hand.x_position - object2.x_position)**2 + (robot_hand.y_position - object2.y_position)**2'], ['(object2.x_position - object4.x_position)**2 + (object2.y_position - object4.y_position)**2'], ['(1 - robot_hand.state)**2 + (robot_hand.x_position - object3.x_position)**2 + (robot_hand.y_position - object3.y_position)**2'], ['(object3.x_position - object5.x_position)**2 + (object3.y_position - object5.y_position)**2']]</t>
  </si>
  <si>
    <t xml:space="preserve">[['(object2.x_position - object4.x_position)**2 + (object2.y_position - object4.y_position)**2'], ['(object3.x_position - object5.x_position)**2 + (object3.y_position - object5.y_position)**2']]</t>
  </si>
  <si>
    <t xml:space="preserve">[['abs(object2.x_position - robot_hand.x_position) + abs(object2.y_position - robot_hand.y_position) + (1 - robot_hand.state)'], ['abs(object2.x_position - object4.x_position) + abs(object2.y_position - object4.y_position)'], ['abs(object3.x_position - robot_hand.x_position) + abs(object3.y_position - robot_hand.y_position) + (1 - robot_hand.state)'], ['abs(object3.x_position - object5.x_position) + abs(object3.y_position - object5.y_position)']]</t>
  </si>
  <si>
    <t xml:space="preserve">[['(1 - robot_hand.state) + (robot_hand.x_position - object2.x_position)**2 + (robot_hand.y_position - object2.y_position)**2'], ['(object2.x_position - object4.x_position)**2 + (object2.y_position - object4.y_position)**2'], ['(1 - robot_hand.state) + (robot_hand.x_position - object3.x_position)**2 + (robot_hand.y_position - object3.y_position)**2'], ['(object3.x_position - object5.x_position)**2 + (object3.y_position - object5.y_position)**2']]</t>
  </si>
  <si>
    <t xml:space="preserve">[['(1 - robot_hand.state) + (abs(object2.x_position - robot_hand.x_position) + abs(object2.y_position - robot_hand.y_position))'], ['abs(object2.x_position - object4.x_position) + abs(object2.y_position - object4.y_position)'], ['(1 - robot_hand.state) + (abs(object3.x_position - robot_hand.x_position) + abs(object3.y_position - robot_hand.y_position))'], ['abs(object3.x_position - object5.x_position) + abs(object3.y_position - object5.y_position)']]</t>
  </si>
  <si>
    <t xml:space="preserve">Results: SEMANTIC SIMILARITY EXPERIMENT STACKING CYLINDERS</t>
  </si>
  <si>
    <t xml:space="preserve">Ideal purpose</t>
  </si>
  <si>
    <t xml:space="preserve">"The robot's task is to stack the cylinders by size in the center of the table by their size (based on their diameters). The largest cylinder goes at the bottom and the smallest one on at the top. To do this, first, the robot should grasp the object4 (largest cylinder), move it to the center of the table. After that, the robot should grasp the object2 (second largest cylinder) and place it on top of the object4. Last, it has to grasp the object3 (smallest cylinder), move it to the center of the table and stack it on top of the object2."</t>
  </si>
  <si>
    <t xml:space="preserve">Stack the cylinders properly on the table like this.</t>
  </si>
  <si>
    <t xml:space="preserve">The robot's purpose is to stack three cylindrical objects by their size at the center of the table. The task involves placing the yellow cylinder (object4) with a diameter of 0.8 as the base, followed by stacking the blue cylinder (object2) with a diameter of 0.4 on top of it, and finally positioning the red cylinder (object3) with a diameter of 0.2 at the top. The entire stack should be centered at the coordinates (x=0.5, y=0.5) on the table.</t>
  </si>
  <si>
    <t xml:space="preserve">Arrange the items in a vertical stack at the center like this.</t>
  </si>
  <si>
    <t xml:space="preserve">The robot should arrange the cylinders into a vertical stack at the center of the table. This involves positioning the yellow cylinder (diameter 0.8) as the base, followed by the blue cylinder (diameter 0.4), and finally placing the red cylinder (diameter 0.2) on top. The stack should be centered horizontally on the table with no specific height requirement.</t>
  </si>
  <si>
    <t xml:space="preserve">Organize all objects by size in the middle of the table like this.</t>
  </si>
  <si>
    <t xml:space="preserve">The robot should start by placing the yellow cylinder at the center of the table. Then, it should place the blue cylinder on top of the yellow one and finally stack the red cylinder on top of the blue one, ensuring they are arranged from largest to smallest in a single column.</t>
  </si>
  <si>
    <t xml:space="preserve">Place the appropriate items in a single pile like this.</t>
  </si>
  <si>
    <t xml:space="preserve">The robot's purpose is to create a stack of cylindrical objects at the center of the table by picking up and placing them in order of size. The robot should first pick up the yellow cylinder (object4), place it down at the center, then pick up the blue cylinder (object2) and place it on top of the yellow cylinder, followed by picking up the red cylinder (object3) and placing it on top of the blue cylinder. This results in a stack with the largest cylinder at the bottom and the smallest at the top, all centered on the table.</t>
  </si>
  <si>
    <t xml:space="preserve">Sort objects into a stack like this.</t>
  </si>
  <si>
    <t xml:space="preserve">The robot's task is to sort and stack cylindrical objects based on their size, with the largest (yellow) at the bottom and the smallest (red) on top. The robot must grasp each object by its color: first yellow, then blue, and lastly red. After grasping, it should place them in the center of the table at coordinates (x=0.5, y=0.5), ensuring the stack is properly aligned with these central points.</t>
  </si>
  <si>
    <t xml:space="preserve">Sort the objects to create a tower like this.</t>
  </si>
  <si>
    <t xml:space="preserve">The robot needs to create a vertical stack of cylinders with the largest yellow cylinder at the bottom, followed by the medium-sized blue cylinder, and finally the smallest red cylinder on top. The entire stack should be positioned such that its center aligns with the central coordinates (x=0.5, y=0.5) of the table. To achieve this, the robot will move to each cylinder's position in order, grasp it, transport it to the center of the table, and place it on top of the previous one, ensuring they are stacked correctly and centered as specified.</t>
  </si>
  <si>
    <t xml:space="preserve">Arrange the pieces on top of each other like this.</t>
  </si>
  <si>
    <t xml:space="preserve">The purpose is for the robot to build a stack of cylinders at the center of the table, starting with the largest and ending with the smallest. The robot should first move its hand to grasp the yellow cylinder (object4), lift it, and place it at the center of the table. Next, it should grasp the blue cylinder (object2), lift it, and stack it on top of the yellow cylinder. Finally, the robot should grasp the red cylinder (object3), lift it, and place it on top of the blue cylinder to complete the stack.</t>
  </si>
  <si>
    <t xml:space="preserve">Stack similar objects in order from largest to smallest like this.</t>
  </si>
  <si>
    <t xml:space="preserve">The robot will stack cylindrical objects at the center of the table in order from largest to smallest. First, it positions itself at the center (x = 0.5, y = 0.5) and places object4 (yellow cylinder with a diameter of 0.8). Next, it stacks object2 (blue cylinder with a diameter of 0.4) on top of object4. Finally, it places object3 (red cylinder with a diameter of 0.2) on top of object2, completing the stack at the center of the table.</t>
  </si>
  <si>
    <t xml:space="preserve">Create an organized pile with the cylinders like this.</t>
  </si>
  <si>
    <t xml:space="preserve">The purpose is to have the robot organize a stack of cylinders on the table by arranging them from largest to smallest based on their diameters. The robot should first identify each cylinder: yellow (largest), blue (medium-sized), and red (smallest). It will then pick up the yellow cylinder and place it at the center of the table. Next, it will pick up the blue cylinder and stack it on top of the yellow one. Finally, the robot will pick up the red cylinder and place it on top of the blue cylinder to complete the stack.</t>
  </si>
  <si>
    <t xml:space="preserve">Place objects in a neat stack at the center like this.</t>
  </si>
  <si>
    <t xml:space="preserve">The purpose is for the robot to create a neat stack of cylindrical objects at the center of the table. It should start by placing object4 (yellow, diameter 0.8) as the base, followed by object2 (blue, diameter 0.4), and finally place object3 (red, diameter 0.2) on top. The robot must pick up each cylinder one by one from their current positions and arrange them in this specific order at the center of the table.</t>
  </si>
  <si>
    <t xml:space="preserve">Arrange everything so it forms a clear and tidy stack like this.</t>
  </si>
  <si>
    <t xml:space="preserve">The robot should arrange the cylinders into a stack based on their sizes, with the largest at the bottom and the smallest at the top, ensuring that the stack is centered on the table. The specific steps are as follows: Identify the positions of the cylinders by their diameters—yellow (largest), blue (medium), red (smallest). Move these objects to form a stack in descending order of size, placing the yellow cylinder at the bottom center of the table, stacking the blue cylinder on top of it, and finally placing the red cylinder on top of the blue one. This arrangement will create a clear and tidy stack in the center of the table.</t>
  </si>
  <si>
    <t xml:space="preserve">Organize the cylinders by size into a single column like this.</t>
  </si>
  <si>
    <t xml:space="preserve">The robot's task is to pick up each cylinder from its current position on the table and place them into a single column by size at the center of the table. The robot will first locate all cylinders: large yellow (object4), medium blue (object2), and small red (object3). It will then calculate the center position of the table, approximately x = 0.5 and y = 0.5 in normalized coordinates. The robot will grasp and move the large yellow cylinder to the bottom position at the center, release it there, then grasp and stack the medium blue cylinder on top of it, releasing it in place. Finally, the robot will grasp and stack the small red cylinder on top of the blue one, releasing it at the center. This results in a single column of cylinders arranged from largest to smallest at the center of the table.</t>
  </si>
  <si>
    <t xml:space="preserve">Stack the correct objects in the proper order like this.</t>
  </si>
  <si>
    <t xml:space="preserve">The robot should sequentially grasp and place three specific cylindrical objects on the table: first, it must pick up and position the yellow cylinder at the bottom; then, it should grasp and place the blue cylinder on top of the yellow one; finally, it needs to pick up and stack the red cylinder on top of the blue one. This entire process must be executed in the center of the table.</t>
  </si>
  <si>
    <t xml:space="preserve">Place everything in a single, well-ordered pile like this.</t>
  </si>
  <si>
    <t xml:space="preserve">The robot's purpose is to organize three cylinders into a specific stacked configuration at the center of the table. The task involves identifying each cylinder by its color: yellow, blue, and red. First, the robot should move to the central position on the table, where both x_position and y_position are 0.5. It will then place the yellow cylinder at this base position. Next, it stacks the blue cylinder on top of the yellow one, followed by placing the red cylinder on top of the blue one. This ensures that the stack is correctly ordered and centrally located on the table.</t>
  </si>
  <si>
    <t xml:space="preserve">The robot has to stack the items so they're properly organized like this.</t>
  </si>
  <si>
    <t xml:space="preserve">The robot's purpose is to organize a stack of cylinders at the center of the table by locating and moving each cylinder into position. First, it must identify and pick up the yellow cylinder (diameter 0.8) from its current location on the table and place it in the center. Next, it should locate the blue cylinder (diameter 0.4), move to its position, pick it up, and stack it on top of the yellow cylinder. Finally, the robot must find the red cylinder (diameter 0.2), move to its location, pick it up, and place it on top of the blue cylinder, completing the stack at the center of the table.</t>
  </si>
  <si>
    <t xml:space="preserve">Stack – Missions</t>
  </si>
  <si>
    <t xml:space="preserve">Proposed missions</t>
  </si>
  <si>
    <t xml:space="preserve">[['yellow_cylinder_at_center', 0.1], ['blue_cylinder_on_yellow', 0.3], ['red_cylinder_on_blue', 0.5]]</t>
  </si>
  <si>
    <t xml:space="preserve">[['yellow_cylinder_at_center_base', 0.3], ['blue_cylinder_on_yellow', 0.5], ['red_cylinder_on_blue', 0.7]]</t>
  </si>
  <si>
    <t xml:space="preserve">[['yellow_cylinder_centered', 0.3], ['blue_cylinder_on_yellow', 0.5], ['red_cylinder_on_blue', 0.7]]</t>
  </si>
  <si>
    <t xml:space="preserve">[['yellow_cylinder_in_hand', 0.1], ['yellow_cylinder_centered_on_table', 0.2], ['blue_cylinder_in_hand', 0.3], ['blue_cylinder_on_yellow_cylinder', 0.4], ['red_cylinder_in_hand', 0.5], ['red_cylinder_on_blue_cylinder', 0.6]]</t>
  </si>
  <si>
    <t xml:space="preserve">[['yellow_cylinder_in_hand', 0.1], ['blue_cylinder_in_hand', 0.2], ['red_cylinder_in_hand', 0.3], ['yellow_cylinder_centered_bottom', 0.4], ['blue_cylinder_centered_middle', 0.5], ['red_cylinder_centered_top', 0.6]]</t>
  </si>
  <si>
    <t xml:space="preserve">[['object4_in_hand', 0.1], ['yellow_cylinder_at_center', 0.2], ['object3_in_hand', 0.3], ['blue_cylinder_on_yellow', 0.4], ['object2_in_hand', 0.5], ['red_cylinder_on_blue', 0.6], ['stack_centered_at_05_05', 0.7]]</t>
  </si>
  <si>
    <t xml:space="preserve">[['hand_at_center', 0.1], ['yellow_cylinder_in_hand', 0.2], ['yellow_cylinder_at_center', 0.3], ['blue_cylinder_in_hand', 0.4], ['blue_cylinder_on_yellow', 0.5], ['red_cylinder_in_hand', 0.6], ['red_cylinder_on_blue', 0.7]]</t>
  </si>
  <si>
    <t xml:space="preserve">[['object4_in_hand', 0.1], ['object4_at_center', 0.2], ['object2_in_hand', 0.3], ['object2_on_object4', 0.4], ['object3_in_hand', 0.5], ['object3_on_object2', 0.6]]</t>
  </si>
  <si>
    <t xml:space="preserve">[['yellow_cylinder_in_hand', 0.1], ['yellow_cylinder_center_of_table', 0.2], ['blue_cylinder_in_hand', 0.3], ['blue_cylinder_on_yellow_cylinder', 0.4], ['red_cylinder_in_hand', 0.5], ['red_cylinder_on_blue_cylinder', 0.6]]</t>
  </si>
  <si>
    <t xml:space="preserve">[['object4_in_hand', 0.1], ['object2_in_hand', 0.2], ['object3_in_hand', 0.3], ['yellow_cylinder_centered_bottom', 0.4], ['blue_cylinder_on_yellow', 0.5], ['red_cylinder_on_blue', 0.6]]</t>
  </si>
  <si>
    <t xml:space="preserve">[['object4_in_hand', 0.3], ['object4_at_center_bottom', 0.5], ['object2_in_hand', 0.6], ['object2_on_object4', 0.7], ['object3_in_hand', 0.8], ['object3_on_object2', 1.0]]</t>
  </si>
  <si>
    <t xml:space="preserve">[['yellow_cylinder_in_hand', 0.3], ['blue_cylinder_in_hand', 0.5], ['red_cylinder_in_hand', 0.7], ['yellow_cylinder_center_bottom', 0.8], ['blue_cylinder_on_yellow', 0.9], ['red_cylinder_on_blue', 1.0]]</t>
  </si>
  <si>
    <t xml:space="preserve">[['yellow_cylinder_in_hand', 0.1], ['yellow_cylinder_at_center', 0.2], ['blue_cylinder_in_hand', 0.3], ['blue_cylinder_on_yellow', 0.4], ['red_cylinder_in_hand', 0.5], ['red_cylinder_on_blue', 0.6]]</t>
  </si>
  <si>
    <t xml:space="preserve">[['yellow_cylinder_in_hand', 0.3], ['blue_cylinder_in_hand', 0.5], ['red_cylinder_in_hand', 0.7], ['cylinders_stacked_at_center', 1.0]]</t>
  </si>
  <si>
    <t xml:space="preserve">[['hand_at_yellow_cylinder', 0.1], ['yellow_cylinder_on_table', 0.2], ['hand_at_blue_cylinder', 0.3], ['blue_cylinder_on_yellow_cylinder', 0.4], ['hand_at_red_cylinder', 0.5], ['red_cylinder_on_blue_cylinder', 0.6]]</t>
  </si>
  <si>
    <t xml:space="preserve">[['object4_in_hand', 0.1], ['yellow_cylinder_centered_on_table', 0.2], ['object2_in_hand', 0.3], ['blue_cylinder_on_yellow_cylinder', 0.4], ['object3_in_hand', 0.5], ['red_cylinder_on_blue_cylinder', 0.6]]</t>
  </si>
  <si>
    <t xml:space="preserve">[['yellow_cylinder_centered', 0.1], ['blue_cylinder_on_yellow', 0.2], ['red_cylinder_on_blue', 0.3], ['button_near_stack', 0.4]]</t>
  </si>
  <si>
    <t xml:space="preserve">[['object3_in_hand', 0.1], ['hand_at_object3_position', 0.2], ['object4_and_object2_in_single_pile', 0.3]]</t>
  </si>
  <si>
    <t xml:space="preserve">[['yellow_cylinder_at_bottom', 0.3], ['blue_cylinder_above_yellow', 0.5], ['red_cylinder_on_top', 0.7]]</t>
  </si>
  <si>
    <t xml:space="preserve">[['object4_on_base', 0.3], ['object2_on_object4', 0.5], ['object3_on_object2', 0.7]]</t>
  </si>
  <si>
    <t xml:space="preserve">[['object4_in_hand', 0.1], ['object4_on_table', 0.2], ['object2_in_hand', 0.3], ['object2_on_object4', 0.4], ['object3_in_hand', 0.5], ['object3_on_object2', 0.6]]</t>
  </si>
  <si>
    <t xml:space="preserve">[['object4_in_hand', 0.1], ['object2_in_hand', 0.3], ['object3_in_hand', 0.5], ['object4_at_bottom_of_stack', 0.7], ['object2_on_object4', 0.9], ['object3_on_object2', 1.0]]</t>
  </si>
  <si>
    <t xml:space="preserve">[['object4_in_hand', 0.1], ['object4_at_object2_location', 0.2], ['object2_in_hand', 0.3], ['object2_on_top_of_object4', 0.4], ['object3_in_hand', 0.5], ['object3_on_top_of_object2', 0.6]]</t>
  </si>
  <si>
    <t xml:space="preserve">[['object4_in_hand', 0.1], ['object2_in_hand', 0.2], ['object3_in_hand', 0.3], ['object4_center_bottom', 0.4], ['object2_on_object4', 0.5], ['object3_on_object2', 0.6]]</t>
  </si>
  <si>
    <t xml:space="preserve">[['yellow_cylinder_in_hand', 0.1], ['blue_cylinder_in_hand', 0.2], ['red_cylinder_in_hand', 0.3], ['cylinders_organized_by_size', 0.4]]</t>
  </si>
  <si>
    <t xml:space="preserve">[['object4_in_hand', 0.3], ['object3_on_object4', 0.5], ['object2_on_object3', 0.7]]</t>
  </si>
  <si>
    <t xml:space="preserve">[['object4_in_hand', 0.3], ['object2_in_hand', 0.5], ['object3_in_hand', 0.7], ['yellow_cylinder_at_bottom_of_stack', 0.8], ['blue_cylinder_on_yellow_cylinder', 1.0], ['red_cylinder_on_blue_cylinder', 1.2]]</t>
  </si>
  <si>
    <t xml:space="preserve">[['hand_at_yellow_cylinder', 0.1], ['yellow_cylinder_in_hand', 0.2], ['yellow_cylinder_on_table_bottom', 0.3], ['hand_at_blue_cylinder', 0.4], ['blue_cylinder_in_hand', 0.5], ['blue_cylinder_on_yellow_cylinder', 0.6], ['hand_at_red_cylinder', 0.7], ['red_cylinder_in_hand', 0.8], ['red_cylinder_on_blue_cylinder', 0.9]]</t>
  </si>
  <si>
    <t xml:space="preserve">Stack-Drives</t>
  </si>
  <si>
    <t xml:space="preserve">[['(object4.x_position - 0.5)**2 + (object4.y_position - 0.5)**2'], ['(object2.x_position - object4.x_position)**2 + (object2.y_position - object4.y_position)**2'], ['(object3.x_position - object2.x_position)**2 + (object3.y_position - object2.y_position)**2']]</t>
  </si>
  <si>
    <t xml:space="preserve">[['(object4.x_position - 0.5) ** 2 + (object4.y_position - 0.5) ** 2'], ['(object2.x_position - object4.x_position) ** 2 + (object2.y_position - object4.y_position) ** 2'], ['(object3.x_position - object2.x_position) ** 2 + (object3.y_position - object2.y_position) ** 2']]</t>
  </si>
  <si>
    <t xml:space="preserve">[['max(0, 1 - robot_hand.state) + (object4.x_position - robot_hand.x_position)**2 + (object4.y_position - robot_hand.y_position)**2'], ['(object4.x_position - 0.5)**2 + (object4.y_position - 0.5)**2'], ['max(0, 1 - robot_hand.state) + (object2.x_position - robot_hand.x_position)**2 + (object2.y_position - robot_hand.y_position)**2'], ['(object2.x_position - object4.x_position)**2 + (object2.y_position - object4.y_position)**2'], ['max(0, 1 - robot_hand.state) + (object3.x_position - robot_hand.x_position)**2 + (object3.y_position - robot_hand.y_position)**2'], ['(object3.x_position - object2.x_position)**2 + (object3.y_position - object2.y_position)**2']]</t>
  </si>
  <si>
    <t xml:space="preserve">[['abs(object4.x_position - robot_hand.x_position) + abs(object4.y_position - robot_hand.y_position) + (1 - robot_hand.state)'], ['abs(object2.x_position - robot_hand.x_position) + abs(object2.y_position - robot_hand.y_position) + (1 - robot_hand.state)'], ['abs(object3.x_position - robot_hand.x_position) + abs(object3.y_position - robot_hand.y_position) + (1 - robot_hand.state)'], ['abs(object4.x_position - 0.5) + abs(object4.y_position - 0.5)'], ['abs(object2.x_position - 0.5) + abs(object2.y_position - 0.5) + abs(object2.x_position - object4.x_position) + abs(object2.y_position - object4.y_position)'], ['abs(object3.x_position - 0.5) + abs(object3.y_position - 0.5) + abs(object3.x_position - object2.x_position) + abs(object3.y_position - object2.y_position)']]</t>
  </si>
  <si>
    <t xml:space="preserve">[['1 - robot_hand.state'], ['(object4.x_position - 0.5)**2 + (object4.y_position - 0.5)**2'], ['1 - robot_hand.state'], ['(object2.x_position - object4.x_position)**2 + (object2.y_position - object4.y_position)**2'], ['1 - robot_hand.state'], ['(object3.x_position - object2.x_position)**2 + (object3.y_position - object2.y_position)**2'], ['((object4.x_position - 0.5)**2 + (object4.y_position - 0.5)**2) + ((object2.x_position - 0.5)**2 + (object2.y_position - 0.5)**2) + ((object3.x_position - 0.5)**2 + (object3.y_position - 0.5)**2)']]</t>
  </si>
  <si>
    <t xml:space="preserve">[['(1 - robot_hand.state) + (object4.x_position - robot_hand.x_position) ** 2 + (object4.y_position - robot_hand.y_position) ** 2'], ['(object4.x_position - 0.5) ** 2 + (object4.y_position - 0.5) ** 2'], ['(1 - robot_hand.state) + (object2.x_position - robot_hand.x_position) ** 2 + (object2.y_position - robot_hand.y_position) ** 2'], ['(object2.x_position - object4.x_position) ** 2 + (object2.y_position - object4.y_position) ** 2'], ['(1 - robot_hand.state) + (object3.x_position - robot_hand.x_position) ** 2 + (object3.y_position - robot_hand.y_position) ** 2'], ['(object3.x_position - object2.x_position) ** 2 + (object3.y_position - object2.y_position) ** 2']]</t>
  </si>
  <si>
    <t xml:space="preserve">[['abs(robot_hand.state - 1)'], ['abs(object4.x_position - 0.5) + abs(object4.y_position - 0.5)'], ['abs(robot_hand.state - 1)'], ['abs(object2.x_position - object4.x_position) + abs(object2.y_position - object4.y_position)'], ['abs(robot_hand.state - 1)'], ['abs(object3.x_position - object2.x_position) + abs(object3.y_position - object2.y_position)']]</t>
  </si>
  <si>
    <t xml:space="preserve">[['abs(robot_hand.state - 1) + abs(object4.x_position - robot_hand.x_position) + abs(object4.y_position - robot_hand.y_position)'], ['abs(object4.x_position - 0.5) + abs(object4.y_position - 0.5)'], ['abs(robot_hand.state - 1) + abs(object2.x_position - robot_hand.x_position) + abs(object2.y_position - robot_hand.y_position)'], ['abs(object2.x_position - object4.x_position) + abs(object2.y_position - object4.y_position)'], ['abs(robot_hand.state - 1) + abs(object3.x_position - robot_hand.x_position) + abs(object3.y_position - robot_hand.y_position)'], ['abs(object3.x_position - object2.x_position) + abs(object3.y_position - object2.y_position)']]</t>
  </si>
  <si>
    <t xml:space="preserve">Final drives</t>
  </si>
  <si>
    <t xml:space="preserve">[['max(0, 1 - robot_hand.state)'], ['max(0, 1 - robot_hand.state)'], ['max(0, 1 - robot_hand.state)'], ['(object4.x_position - 0.5)**2 + (object4.y_position - 0.5)**2'], ['(object2.x_position - object4.x_position)**2 + (object2.y_position - object4.y_position)**2'], ['(object3.x_position - object2.x_position)**2 + (object3.y_position - object2.y_position)**2']]</t>
  </si>
  <si>
    <t xml:space="preserve">[['1 - robot_hand.state + (object4.x_position - robot_hand.x_position)**2 + (object4.y_position - robot_hand.y_position)**2'], ['1 - robot_hand.state + (object2.x_position - robot_hand.x_position)**2 + (object2.y_position - robot_hand.y_position)**2'], ['1 - robot_hand.state + (object3.x_position - robot_hand.x_position)**2 + (object3.y_position - robot_hand.y_position)**2'], ['(object4.x_position - 0.5)**2 + (object4.y_position - 0.0)**2'], ['(object2.x_position - object4.x_position)**2 + (object2.y_position - object4.y_position)**2'], ['(object3.x_position - object2.x_position)**2 + (object3.y_position - object2.y_position)**2']]</t>
  </si>
  <si>
    <t xml:space="preserve">[["1 - robot_hand.state if object4.color == 'yellow' else 1"], ['abs(object4.x_position - 0.5) + abs(object4.y_position - 0.5)'], ["1 - robot_hand.state if object2.color == 'blue' else 1"], ['abs(object2.x_position - object4.x_position) + abs(object2.y_position - object4.y_position)'], ["1 - robot_hand.state if object3.color == 'red' else 1"], ['abs(object3.x_position - object2.x_position) + abs(object3.y_position - object2.y_position)']]</t>
  </si>
  <si>
    <t xml:space="preserve">[['max(0, 1 - robot_hand.state) + abs(object4.x_position - robot_hand.x_position) + abs(object4.y_position - robot_hand.y_position)'], ['max(0, 1 - robot_hand.state) + abs(object2.x_position - robot_hand.x_position) + abs(object2.y_position - robot_hand.y_position)'], ['max(0, 1 - robot_hand.state) + abs(object3.x_position - robot_hand.x_position) + abs(object3.y_position - robot_hand.y_position)'], ['abs(object4.x_position - 0.5) + abs(object4.y_position - 0.5) + abs(object2.x_position - 0.5) + abs(object2.y_position - 0.5) + abs(object3.x_position - 0.5) + abs(object3.y_position - 0.5)']]</t>
  </si>
</sst>
</file>

<file path=xl/styles.xml><?xml version="1.0" encoding="utf-8"?>
<styleSheet xmlns="http://schemas.openxmlformats.org/spreadsheetml/2006/main">
  <numFmts count="2">
    <numFmt numFmtId="164" formatCode="General"/>
    <numFmt numFmtId="165" formatCode="General"/>
  </numFmts>
  <fonts count="7">
    <font>
      <sz val="11"/>
      <color rgb="FF000000"/>
      <name val="Aptos Narrow"/>
      <family val="2"/>
      <charset val="1"/>
    </font>
    <font>
      <sz val="10"/>
      <name val="Arial"/>
      <family val="0"/>
    </font>
    <font>
      <sz val="10"/>
      <name val="Arial"/>
      <family val="0"/>
    </font>
    <font>
      <sz val="10"/>
      <name val="Arial"/>
      <family val="0"/>
    </font>
    <font>
      <b val="true"/>
      <sz val="11"/>
      <color rgb="FF000000"/>
      <name val="Aptos Narrow"/>
      <family val="2"/>
      <charset val="1"/>
    </font>
    <font>
      <b val="true"/>
      <sz val="11"/>
      <name val="Calibri"/>
      <family val="2"/>
      <charset val="1"/>
    </font>
    <font>
      <b val="true"/>
      <sz val="11"/>
      <name val="Calibri"/>
      <family val="0"/>
      <charset val="1"/>
    </font>
  </fonts>
  <fills count="5">
    <fill>
      <patternFill patternType="none"/>
    </fill>
    <fill>
      <patternFill patternType="gray125"/>
    </fill>
    <fill>
      <patternFill patternType="solid">
        <fgColor rgb="FF61CBF4"/>
        <bgColor rgb="FF96DCF8"/>
      </patternFill>
    </fill>
    <fill>
      <patternFill patternType="solid">
        <fgColor rgb="FFCAEEFB"/>
        <bgColor rgb="FFCCFFFF"/>
      </patternFill>
    </fill>
    <fill>
      <patternFill patternType="solid">
        <fgColor rgb="FF96DCF8"/>
        <bgColor rgb="FFCAEEFB"/>
      </patternFill>
    </fill>
  </fills>
  <borders count="3">
    <border diagonalUp="false" diagonalDown="false">
      <left/>
      <right/>
      <top/>
      <bottom/>
      <diagonal/>
    </border>
    <border diagonalUp="false" diagonalDown="false">
      <left/>
      <right/>
      <top/>
      <bottom style="thin"/>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5" fillId="0" borderId="2" xfId="0" applyFont="true" applyBorder="true" applyAlignment="true" applyProtection="false">
      <alignment horizontal="center" vertical="top" textRotation="0" wrapText="false" indent="0" shrinkToFit="false"/>
      <protection locked="true" hidden="false"/>
    </xf>
    <xf numFmtId="164" fontId="6" fillId="0" borderId="2" xfId="0" applyFont="true" applyBorder="true" applyAlignment="true" applyProtection="false">
      <alignment horizontal="center" vertical="top"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4" fillId="2" borderId="2" xfId="0" applyFont="true" applyBorder="true" applyAlignment="false" applyProtection="false">
      <alignment horizontal="general" vertical="bottom" textRotation="0" wrapText="false" indent="0" shrinkToFit="false"/>
      <protection locked="true" hidden="false"/>
    </xf>
    <xf numFmtId="165" fontId="0" fillId="3" borderId="2" xfId="0" applyFont="fals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4" fillId="0" borderId="2"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5" fontId="4" fillId="3" borderId="2" xfId="0" applyFont="true" applyBorder="true" applyAlignment="false" applyProtection="false">
      <alignment horizontal="general" vertical="bottom" textRotation="0" wrapText="false" indent="0" shrinkToFit="false"/>
      <protection locked="true" hidden="false"/>
    </xf>
    <xf numFmtId="164" fontId="4" fillId="4" borderId="2" xfId="0" applyFont="true" applyBorder="true" applyAlignment="false" applyProtection="false">
      <alignment horizontal="general" vertical="bottom" textRotation="0" wrapText="false" indent="0" shrinkToFit="false"/>
      <protection locked="true" hidden="false"/>
    </xf>
    <xf numFmtId="165" fontId="0" fillId="4" borderId="2"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00FFFFFF"/>
        </patternFill>
      </fill>
    </dxf>
    <dxf>
      <fill>
        <patternFill patternType="solid">
          <fgColor rgb="FF3D3D3D"/>
          <bgColor rgb="FFFFFFFF"/>
        </patternFill>
      </fill>
    </dxf>
    <dxf>
      <fill>
        <patternFill patternType="solid">
          <fgColor rgb="FF61CBF4"/>
        </patternFill>
      </fill>
    </dxf>
    <dxf>
      <fill>
        <patternFill patternType="solid">
          <fgColor rgb="FFCAEEFB"/>
        </patternFill>
      </fill>
    </dxf>
    <dxf>
      <fill>
        <patternFill patternType="solid">
          <fgColor rgb="FF96DCF8"/>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AEE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6DCF8"/>
      <rgbColor rgb="FFFF99CC"/>
      <rgbColor rgb="FFCC99FF"/>
      <rgbColor rgb="FFFFCC99"/>
      <rgbColor rgb="FF3366FF"/>
      <rgbColor rgb="FF61CBF4"/>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sharedStrings" Target="sharedStrings.xml"/>
</Relationships>
</file>

<file path=xl/tables/table1.xml><?xml version="1.0" encoding="utf-8"?>
<table xmlns="http://schemas.openxmlformats.org/spreadsheetml/2006/main" id="1" name="Apilar_misiones" displayName="Apilar_misiones" ref="A1:C20" headerRowCount="1" totalsRowCount="1" totalsRowShown="1">
  <autoFilter ref="A1:C20"/>
  <tableColumns count="3">
    <tableColumn id="1" name="Column1"/>
    <tableColumn id="2" name="Column4"/>
    <tableColumn id="3" name="Column6"/>
  </tableColumns>
</table>
</file>

<file path=xl/tables/table2.xml><?xml version="1.0" encoding="utf-8"?>
<table xmlns="http://schemas.openxmlformats.org/spreadsheetml/2006/main" id="2" name="Drives_apilar" displayName="Drives_apilar" ref="A1:E77" headerRowCount="1" totalsRowCount="0" totalsRowShown="0">
  <autoFilter ref="A1:E77"/>
  <tableColumns count="5">
    <tableColumn id="1" name="Column1"/>
    <tableColumn id="2" name="Column2"/>
    <tableColumn id="3" name="Column3"/>
    <tableColumn id="4" name="Column4"/>
    <tableColumn id="5" name="Column5"/>
  </tableColumns>
</table>
</file>

<file path=xl/tables/table3.xml><?xml version="1.0" encoding="utf-8"?>
<table xmlns="http://schemas.openxmlformats.org/spreadsheetml/2006/main" id="3" name="Drives_cilindros_canasta__2" displayName="Drives_cilindros_canasta__2" ref="A1:D83" headerRowCount="1" totalsRowCount="1" totalsRowShown="1">
  <autoFilter ref="A1:D83"/>
  <tableColumns count="4">
    <tableColumn id="1" name="Column1"/>
    <tableColumn id="2" name="Column2"/>
    <tableColumn id="3" name="Column3"/>
    <tableColumn id="4" name="Column4"/>
  </tableColumns>
</table>
</file>

<file path=xl/tables/table4.xml><?xml version="1.0" encoding="utf-8"?>
<table xmlns="http://schemas.openxmlformats.org/spreadsheetml/2006/main" id="4" name="Misiones_cilindros_canastas" displayName="Misiones_cilindros_canastas" ref="A1:F21" headerRowCount="1" totalsRowCount="0" totalsRowShown="0">
  <autoFilter ref="A1:F21"/>
  <tableColumns count="6">
    <tableColumn id="1" name="Column1"/>
    <tableColumn id="2" name="Column4"/>
    <tableColumn id="3" name="Column5"/>
    <tableColumn id="4" name="Column6"/>
    <tableColumn id="5" name="Column7"/>
    <tableColumn id="6" name="Column8"/>
  </tableColumns>
</table>
</file>

<file path=xl/tables/table5.xml><?xml version="1.0" encoding="utf-8"?>
<table xmlns="http://schemas.openxmlformats.org/spreadsheetml/2006/main" id="5" name="Misiones_clasificar_manzanas_color" displayName="Misiones_clasificar_manzanas_color" ref="A1:E20" headerRowCount="1" totalsRowCount="1" totalsRowShown="1">
  <autoFilter ref="A1:E20"/>
  <tableColumns count="5">
    <tableColumn id="1" name="Column1"/>
    <tableColumn id="2" name="Column4"/>
    <tableColumn id="3" name="Column5"/>
    <tableColumn id="4" name="Column6"/>
    <tableColumn id="5" name="Column7"/>
  </tableColumns>
</table>
</file>

<file path=xl/worksheets/_rels/sheet2.xml.rels><?xml version="1.0" encoding="UTF-8"?>
<Relationships xmlns="http://schemas.openxmlformats.org/package/2006/relationships"><Relationship Id="rId1" Type="http://schemas.openxmlformats.org/officeDocument/2006/relationships/table" Target="../tables/table5.xml"/>
</Relationships>
</file>

<file path=xl/worksheets/_rels/sheet5.xml.rels><?xml version="1.0" encoding="UTF-8"?>
<Relationships xmlns="http://schemas.openxmlformats.org/package/2006/relationships"><Relationship Id="rId1" Type="http://schemas.openxmlformats.org/officeDocument/2006/relationships/table" Target="../tables/table4.xml"/>
</Relationships>
</file>

<file path=xl/worksheets/_rels/sheet6.xml.rels><?xml version="1.0" encoding="UTF-8"?>
<Relationships xmlns="http://schemas.openxmlformats.org/package/2006/relationships"><Relationship Id="rId1" Type="http://schemas.openxmlformats.org/officeDocument/2006/relationships/table" Target="../tables/table3.xml"/>
</Relationships>
</file>

<file path=xl/worksheets/_rels/sheet8.xml.rels><?xml version="1.0" encoding="UTF-8"?>
<Relationships xmlns="http://schemas.openxmlformats.org/package/2006/relationships"><Relationship Id="rId1" Type="http://schemas.openxmlformats.org/officeDocument/2006/relationships/table" Target="../tables/table1.xml"/>
</Relationships>
</file>

<file path=xl/worksheets/_rels/sheet9.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25"/>
  <sheetViews>
    <sheetView showFormulas="false" showGridLines="true" showRowColHeaders="true" showZeros="true" rightToLeft="false" tabSelected="false" showOutlineSymbols="true" defaultGridColor="true" view="normal" topLeftCell="D1" colorId="64" zoomScale="81" zoomScaleNormal="81" zoomScalePageLayoutView="100" workbookViewId="0">
      <selection pane="topLeft" activeCell="I40" activeCellId="0" sqref="I40"/>
    </sheetView>
  </sheetViews>
  <sheetFormatPr defaultColWidth="10.58203125" defaultRowHeight="13.8" zeroHeight="false" outlineLevelRow="0" outlineLevelCol="0"/>
  <cols>
    <col collapsed="false" customWidth="true" hidden="false" outlineLevel="0" max="1" min="1" style="0" width="17.67"/>
    <col collapsed="false" customWidth="true" hidden="false" outlineLevel="0" max="3" min="2" style="0" width="80"/>
    <col collapsed="false" customWidth="true" hidden="false" outlineLevel="0" max="10" min="4" style="0" width="31.87"/>
  </cols>
  <sheetData>
    <row r="1" customFormat="false" ht="13.8" hidden="false" customHeight="false" outlineLevel="0" collapsed="false">
      <c r="A1" s="1" t="s">
        <v>0</v>
      </c>
    </row>
    <row r="2" customFormat="false" ht="13.8" hidden="false" customHeight="false" outlineLevel="0" collapsed="false">
      <c r="A2" s="1" t="s">
        <v>1</v>
      </c>
      <c r="B2" s="0" t="s">
        <v>2</v>
      </c>
    </row>
    <row r="4" customFormat="false" ht="13.8" hidden="false" customHeight="false" outlineLevel="0" collapsed="false">
      <c r="E4" s="2" t="s">
        <v>3</v>
      </c>
      <c r="F4" s="2"/>
      <c r="G4" s="2"/>
      <c r="H4" s="2" t="s">
        <v>4</v>
      </c>
      <c r="I4" s="2"/>
      <c r="J4" s="2"/>
    </row>
    <row r="5" customFormat="false" ht="13.8" hidden="false" customHeight="false" outlineLevel="0" collapsed="false">
      <c r="A5" s="3" t="s">
        <v>5</v>
      </c>
      <c r="B5" s="3" t="s">
        <v>6</v>
      </c>
      <c r="C5" s="4" t="s">
        <v>7</v>
      </c>
      <c r="D5" s="4" t="s">
        <v>8</v>
      </c>
      <c r="E5" s="3" t="s">
        <v>9</v>
      </c>
      <c r="F5" s="4" t="s">
        <v>10</v>
      </c>
      <c r="G5" s="4" t="s">
        <v>11</v>
      </c>
      <c r="H5" s="3" t="s">
        <v>9</v>
      </c>
      <c r="I5" s="4" t="s">
        <v>10</v>
      </c>
      <c r="J5" s="4" t="s">
        <v>11</v>
      </c>
    </row>
    <row r="6" customFormat="false" ht="13.8" hidden="false" customHeight="false" outlineLevel="0" collapsed="false">
      <c r="A6" s="5" t="n">
        <v>1</v>
      </c>
      <c r="B6" s="0" t="s">
        <v>12</v>
      </c>
      <c r="C6" s="0" t="s">
        <v>13</v>
      </c>
      <c r="D6" s="0" t="s">
        <v>14</v>
      </c>
      <c r="E6" s="0" t="n">
        <v>0.6866</v>
      </c>
      <c r="F6" s="0" t="n">
        <v>0.8707</v>
      </c>
      <c r="G6" s="0" t="n">
        <v>0.887</v>
      </c>
      <c r="H6" s="0" t="n">
        <v>0.8815</v>
      </c>
      <c r="I6" s="0" t="n">
        <v>0.8818</v>
      </c>
      <c r="J6" s="0" t="n">
        <v>0.8967</v>
      </c>
    </row>
    <row r="7" customFormat="false" ht="13.8" hidden="false" customHeight="false" outlineLevel="0" collapsed="false">
      <c r="A7" s="5" t="n">
        <v>2</v>
      </c>
      <c r="B7" s="0" t="s">
        <v>15</v>
      </c>
      <c r="C7" s="0" t="s">
        <v>16</v>
      </c>
      <c r="D7" s="0" t="s">
        <v>17</v>
      </c>
      <c r="E7" s="0" t="n">
        <v>0.504</v>
      </c>
      <c r="F7" s="0" t="n">
        <v>0.837</v>
      </c>
      <c r="G7" s="0" t="n">
        <v>0.8348</v>
      </c>
      <c r="H7" s="0" t="n">
        <v>0.8702</v>
      </c>
      <c r="I7" s="0" t="n">
        <v>0.8913</v>
      </c>
      <c r="J7" s="0" t="n">
        <v>0.8986</v>
      </c>
    </row>
    <row r="8" customFormat="false" ht="13.8" hidden="false" customHeight="false" outlineLevel="0" collapsed="false">
      <c r="A8" s="5" t="n">
        <v>3</v>
      </c>
      <c r="B8" s="0" t="s">
        <v>18</v>
      </c>
      <c r="C8" s="0" t="s">
        <v>19</v>
      </c>
      <c r="D8" s="0" t="s">
        <v>20</v>
      </c>
      <c r="E8" s="0" t="n">
        <v>0.4188</v>
      </c>
      <c r="F8" s="0" t="n">
        <v>0.7832</v>
      </c>
      <c r="G8" s="0" t="n">
        <v>0.8316</v>
      </c>
      <c r="H8" s="0" t="n">
        <v>0.8676</v>
      </c>
      <c r="I8" s="0" t="n">
        <v>0.8849</v>
      </c>
      <c r="J8" s="0" t="n">
        <v>0.903</v>
      </c>
    </row>
    <row r="9" customFormat="false" ht="13.8" hidden="false" customHeight="false" outlineLevel="0" collapsed="false">
      <c r="A9" s="5" t="n">
        <v>4</v>
      </c>
      <c r="B9" s="0" t="s">
        <v>21</v>
      </c>
      <c r="C9" s="0" t="s">
        <v>22</v>
      </c>
      <c r="D9" s="0" t="s">
        <v>23</v>
      </c>
      <c r="E9" s="0" t="n">
        <v>0.4977</v>
      </c>
      <c r="F9" s="0" t="n">
        <v>0.8622</v>
      </c>
      <c r="G9" s="0" t="n">
        <v>0.8329</v>
      </c>
      <c r="H9" s="0" t="n">
        <v>0.8528</v>
      </c>
      <c r="I9" s="0" t="n">
        <v>0.8789</v>
      </c>
      <c r="J9" s="0" t="n">
        <v>0.8819</v>
      </c>
    </row>
    <row r="10" customFormat="false" ht="13.8" hidden="false" customHeight="false" outlineLevel="0" collapsed="false">
      <c r="A10" s="5" t="n">
        <v>5</v>
      </c>
      <c r="B10" s="0" t="s">
        <v>24</v>
      </c>
      <c r="C10" s="0" t="s">
        <v>25</v>
      </c>
      <c r="D10" s="0" t="s">
        <v>26</v>
      </c>
      <c r="E10" s="0" t="n">
        <v>0.4801</v>
      </c>
      <c r="F10" s="0" t="n">
        <v>0.8113</v>
      </c>
      <c r="G10" s="0" t="n">
        <v>0.9167</v>
      </c>
      <c r="H10" s="0" t="n">
        <v>0.8404</v>
      </c>
      <c r="I10" s="0" t="n">
        <v>0.8658</v>
      </c>
      <c r="J10" s="0" t="n">
        <v>0.923</v>
      </c>
    </row>
    <row r="11" customFormat="false" ht="13.8" hidden="false" customHeight="false" outlineLevel="0" collapsed="false">
      <c r="A11" s="5" t="n">
        <v>6</v>
      </c>
      <c r="B11" s="0" t="s">
        <v>27</v>
      </c>
      <c r="C11" s="0" t="s">
        <v>28</v>
      </c>
      <c r="D11" s="0" t="s">
        <v>29</v>
      </c>
      <c r="E11" s="0" t="n">
        <v>0.5276</v>
      </c>
      <c r="F11" s="0" t="n">
        <v>0.8683</v>
      </c>
      <c r="G11" s="0" t="n">
        <v>0.9142</v>
      </c>
      <c r="H11" s="0" t="n">
        <v>0.856</v>
      </c>
      <c r="I11" s="0" t="n">
        <v>0.9038</v>
      </c>
      <c r="J11" s="0" t="n">
        <v>0.9089</v>
      </c>
    </row>
    <row r="12" customFormat="false" ht="13.8" hidden="false" customHeight="false" outlineLevel="0" collapsed="false">
      <c r="A12" s="5" t="n">
        <v>7</v>
      </c>
      <c r="B12" s="0" t="s">
        <v>30</v>
      </c>
      <c r="C12" s="0" t="s">
        <v>31</v>
      </c>
      <c r="D12" s="0" t="s">
        <v>32</v>
      </c>
      <c r="E12" s="0" t="n">
        <v>0.5334</v>
      </c>
      <c r="F12" s="0" t="n">
        <v>0.8327</v>
      </c>
      <c r="G12" s="0" t="n">
        <v>0.897</v>
      </c>
      <c r="H12" s="0" t="n">
        <v>0.8601</v>
      </c>
      <c r="I12" s="0" t="n">
        <v>0.9017</v>
      </c>
      <c r="J12" s="0" t="n">
        <v>0.9292</v>
      </c>
    </row>
    <row r="13" customFormat="false" ht="13.8" hidden="false" customHeight="false" outlineLevel="0" collapsed="false">
      <c r="A13" s="5" t="n">
        <v>8</v>
      </c>
      <c r="B13" s="0" t="s">
        <v>33</v>
      </c>
      <c r="C13" s="0" t="s">
        <v>34</v>
      </c>
      <c r="D13" s="0" t="s">
        <v>35</v>
      </c>
      <c r="E13" s="0" t="n">
        <v>0.5881</v>
      </c>
      <c r="F13" s="0" t="n">
        <v>0.8768</v>
      </c>
      <c r="G13" s="0" t="n">
        <v>0.8323</v>
      </c>
      <c r="H13" s="0" t="n">
        <v>0.8577</v>
      </c>
      <c r="I13" s="0" t="n">
        <v>0.8903</v>
      </c>
      <c r="J13" s="0" t="n">
        <v>0.8956</v>
      </c>
    </row>
    <row r="14" customFormat="false" ht="13.8" hidden="false" customHeight="false" outlineLevel="0" collapsed="false">
      <c r="A14" s="5" t="n">
        <v>9</v>
      </c>
      <c r="B14" s="0" t="s">
        <v>36</v>
      </c>
      <c r="C14" s="0" t="s">
        <v>37</v>
      </c>
      <c r="D14" s="0" t="s">
        <v>38</v>
      </c>
      <c r="E14" s="0" t="n">
        <v>0.2696</v>
      </c>
      <c r="F14" s="0" t="n">
        <v>0.7505</v>
      </c>
      <c r="G14" s="0" t="n">
        <v>0.8352</v>
      </c>
      <c r="H14" s="0" t="n">
        <v>0.8586</v>
      </c>
      <c r="I14" s="0" t="n">
        <v>0.8663</v>
      </c>
      <c r="J14" s="0" t="n">
        <v>0.9014</v>
      </c>
    </row>
    <row r="15" customFormat="false" ht="13.8" hidden="false" customHeight="false" outlineLevel="0" collapsed="false">
      <c r="A15" s="5" t="n">
        <v>10</v>
      </c>
      <c r="B15" s="0" t="s">
        <v>39</v>
      </c>
      <c r="C15" s="0" t="s">
        <v>40</v>
      </c>
      <c r="D15" s="0" t="s">
        <v>41</v>
      </c>
      <c r="E15" s="0" t="n">
        <v>0.5525</v>
      </c>
      <c r="F15" s="0" t="n">
        <v>0.8601</v>
      </c>
      <c r="G15" s="0" t="n">
        <v>0.9154</v>
      </c>
      <c r="H15" s="0" t="n">
        <v>0.8541</v>
      </c>
      <c r="I15" s="0" t="n">
        <v>0.8957</v>
      </c>
      <c r="J15" s="0" t="n">
        <v>0.9035</v>
      </c>
    </row>
    <row r="16" customFormat="false" ht="13.8" hidden="false" customHeight="false" outlineLevel="0" collapsed="false">
      <c r="A16" s="5" t="n">
        <v>11</v>
      </c>
      <c r="B16" s="0" t="s">
        <v>42</v>
      </c>
      <c r="C16" s="0" t="s">
        <v>43</v>
      </c>
      <c r="D16" s="0" t="s">
        <v>44</v>
      </c>
      <c r="E16" s="0" t="n">
        <v>0.4748</v>
      </c>
      <c r="F16" s="0" t="n">
        <v>0.8255</v>
      </c>
      <c r="G16" s="0" t="n">
        <v>0.8876</v>
      </c>
      <c r="H16" s="0" t="n">
        <v>0.855</v>
      </c>
      <c r="I16" s="0" t="n">
        <v>0.8655</v>
      </c>
      <c r="J16" s="0" t="n">
        <v>0.9144</v>
      </c>
    </row>
    <row r="17" customFormat="false" ht="13.8" hidden="false" customHeight="false" outlineLevel="0" collapsed="false">
      <c r="A17" s="5" t="n">
        <v>12</v>
      </c>
      <c r="B17" s="0" t="s">
        <v>45</v>
      </c>
      <c r="C17" s="0" t="s">
        <v>46</v>
      </c>
      <c r="D17" s="0" t="s">
        <v>47</v>
      </c>
      <c r="E17" s="0" t="n">
        <v>0.549</v>
      </c>
      <c r="F17" s="0" t="n">
        <v>0.791</v>
      </c>
      <c r="G17" s="0" t="n">
        <v>0.864</v>
      </c>
      <c r="H17" s="0" t="n">
        <v>0.858</v>
      </c>
      <c r="I17" s="0" t="n">
        <v>0.8902</v>
      </c>
      <c r="J17" s="0" t="n">
        <v>0.9124</v>
      </c>
    </row>
    <row r="18" customFormat="false" ht="13.8" hidden="false" customHeight="false" outlineLevel="0" collapsed="false">
      <c r="A18" s="5" t="n">
        <v>13</v>
      </c>
      <c r="B18" s="0" t="s">
        <v>48</v>
      </c>
      <c r="C18" s="0" t="s">
        <v>49</v>
      </c>
      <c r="D18" s="0" t="s">
        <v>50</v>
      </c>
      <c r="E18" s="0" t="n">
        <v>0.5662</v>
      </c>
      <c r="F18" s="0" t="n">
        <v>0.8656</v>
      </c>
      <c r="G18" s="0" t="n">
        <v>0.9147</v>
      </c>
      <c r="H18" s="0" t="n">
        <v>0.8598</v>
      </c>
      <c r="I18" s="0" t="n">
        <v>0.8946</v>
      </c>
      <c r="J18" s="0" t="n">
        <v>0.9079</v>
      </c>
    </row>
    <row r="19" customFormat="false" ht="13.8" hidden="false" customHeight="false" outlineLevel="0" collapsed="false">
      <c r="A19" s="5" t="n">
        <v>14</v>
      </c>
      <c r="B19" s="0" t="s">
        <v>51</v>
      </c>
      <c r="C19" s="0" t="s">
        <v>52</v>
      </c>
      <c r="D19" s="0" t="s">
        <v>53</v>
      </c>
      <c r="E19" s="0" t="n">
        <v>0.6236</v>
      </c>
      <c r="F19" s="0" t="n">
        <v>0.8153</v>
      </c>
      <c r="G19" s="0" t="n">
        <v>0.8257</v>
      </c>
      <c r="H19" s="0" t="n">
        <v>0.8689</v>
      </c>
      <c r="I19" s="0" t="n">
        <v>0.8828</v>
      </c>
      <c r="J19" s="0" t="n">
        <v>0.9053</v>
      </c>
    </row>
    <row r="20" customFormat="false" ht="13.8" hidden="false" customHeight="false" outlineLevel="0" collapsed="false">
      <c r="A20" s="5" t="n">
        <v>15</v>
      </c>
      <c r="B20" s="0" t="s">
        <v>54</v>
      </c>
      <c r="C20" s="0" t="s">
        <v>55</v>
      </c>
      <c r="D20" s="0" t="s">
        <v>56</v>
      </c>
      <c r="E20" s="0" t="n">
        <v>0.5735</v>
      </c>
      <c r="F20" s="0" t="n">
        <v>0.8664</v>
      </c>
      <c r="G20" s="0" t="n">
        <v>0.8706</v>
      </c>
      <c r="H20" s="0" t="n">
        <v>0.8608</v>
      </c>
      <c r="I20" s="0" t="n">
        <v>0.8859</v>
      </c>
      <c r="J20" s="0" t="n">
        <v>0.9039</v>
      </c>
    </row>
    <row r="22" customFormat="false" ht="13.8" hidden="false" customHeight="false" outlineLevel="0" collapsed="false">
      <c r="D22" s="6"/>
      <c r="E22" s="7" t="n">
        <f aca="false">AVERAGE(E6:E20)</f>
        <v>0.523033333333333</v>
      </c>
      <c r="F22" s="7" t="n">
        <f aca="false">AVERAGE(F6:F20)</f>
        <v>0.83444</v>
      </c>
      <c r="G22" s="7" t="n">
        <f aca="false">AVERAGE(G6:G20)</f>
        <v>0.870646666666667</v>
      </c>
      <c r="H22" s="7" t="n">
        <f aca="false">AVERAGE(H6:H20)</f>
        <v>0.8601</v>
      </c>
      <c r="I22" s="7" t="n">
        <f aca="false">AVERAGE(I6:I20)</f>
        <v>0.8853</v>
      </c>
      <c r="J22" s="7" t="n">
        <f aca="false">AVERAGE(J6:J20)</f>
        <v>0.905713333333333</v>
      </c>
    </row>
    <row r="23" customFormat="false" ht="13.8" hidden="false" customHeight="false" outlineLevel="0" collapsed="false">
      <c r="D23" s="6"/>
      <c r="E23" s="7" t="n">
        <f aca="false">_xlfn.STDEV.S(E6:E20)</f>
        <v>0.0954123806481757</v>
      </c>
      <c r="F23" s="7" t="n">
        <f aca="false">_xlfn.STDEV.S(F6:F20)</f>
        <v>0.0380102392220081</v>
      </c>
      <c r="G23" s="7" t="n">
        <f aca="false">_xlfn.STDEV.S(G6:G20)</f>
        <v>0.0360916069916275</v>
      </c>
      <c r="H23" s="7" t="n">
        <f aca="false">_xlfn.STDEV.S(H6:H20)</f>
        <v>0.00936124228630244</v>
      </c>
      <c r="I23" s="7" t="n">
        <f aca="false">_xlfn.STDEV.S(I6:I20)</f>
        <v>0.012201112361467</v>
      </c>
      <c r="J23" s="7" t="n">
        <f aca="false">_xlfn.STDEV.S(J6:J20)</f>
        <v>0.0114051283368909</v>
      </c>
    </row>
    <row r="24" customFormat="false" ht="13.8" hidden="false" customHeight="false" outlineLevel="0" collapsed="false">
      <c r="D24" s="6"/>
      <c r="E24" s="7" t="n">
        <f aca="false">MEDIAN(E6:E20)</f>
        <v>0.5334</v>
      </c>
      <c r="F24" s="7" t="n">
        <f aca="false">MEDIAN(F6:F20)</f>
        <v>0.837</v>
      </c>
      <c r="G24" s="7" t="n">
        <f aca="false">MEDIAN(G6:G20)</f>
        <v>0.8706</v>
      </c>
      <c r="H24" s="7" t="n">
        <f aca="false">MEDIAN(H6:H20)</f>
        <v>0.8586</v>
      </c>
      <c r="I24" s="7" t="n">
        <f aca="false">MEDIAN(I6:I20)</f>
        <v>0.8859</v>
      </c>
      <c r="J24" s="7" t="n">
        <f aca="false">MEDIAN(J6:J20)</f>
        <v>0.9039</v>
      </c>
    </row>
    <row r="25" customFormat="false" ht="13.8" hidden="false" customHeight="false" outlineLevel="0" collapsed="false">
      <c r="D25" s="6"/>
      <c r="E25" s="7" t="n">
        <f aca="false">E23/E22</f>
        <v>0.182421223596028</v>
      </c>
      <c r="F25" s="7" t="n">
        <f aca="false">F23/F22</f>
        <v>0.0455517942836011</v>
      </c>
      <c r="G25" s="7" t="n">
        <f aca="false">G23/G22</f>
        <v>0.0414537933393885</v>
      </c>
      <c r="H25" s="7" t="n">
        <f aca="false">H23/H22</f>
        <v>0.0108838998794355</v>
      </c>
      <c r="I25" s="7" t="n">
        <f aca="false">I23/I22</f>
        <v>0.0137818958109872</v>
      </c>
      <c r="J25" s="7" t="n">
        <f aca="false">J23/J22</f>
        <v>0.0125924262315055</v>
      </c>
    </row>
  </sheetData>
  <mergeCells count="2">
    <mergeCell ref="E4:G4"/>
    <mergeCell ref="H4:J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C1" colorId="64" zoomScale="81" zoomScaleNormal="81" zoomScalePageLayoutView="100" workbookViewId="0">
      <selection pane="topLeft" activeCell="I8" activeCellId="0" sqref="I8"/>
    </sheetView>
  </sheetViews>
  <sheetFormatPr defaultColWidth="10.58203125" defaultRowHeight="13.8" zeroHeight="false" outlineLevelRow="0" outlineLevelCol="0"/>
  <cols>
    <col collapsed="false" customWidth="true" hidden="false" outlineLevel="0" max="1" min="1" style="0" width="24.45"/>
    <col collapsed="false" customWidth="true" hidden="false" outlineLevel="0" max="2" min="2" style="0" width="158.66"/>
    <col collapsed="false" customWidth="true" hidden="false" outlineLevel="0" max="3" min="3" style="0" width="23.45"/>
    <col collapsed="false" customWidth="true" hidden="false" outlineLevel="0" max="4" min="4" style="0" width="24"/>
    <col collapsed="false" customWidth="true" hidden="false" outlineLevel="0" max="5" min="5" style="0" width="19.55"/>
    <col collapsed="false" customWidth="true" hidden="false" outlineLevel="0" max="6" min="6" style="0" width="23.68"/>
    <col collapsed="false" customWidth="true" hidden="false" outlineLevel="0" max="7" min="7" style="0" width="44.66"/>
    <col collapsed="false" customWidth="true" hidden="false" outlineLevel="0" max="12" min="9" style="0" width="26.94"/>
  </cols>
  <sheetData>
    <row r="1" customFormat="false" ht="13.8" hidden="false" customHeight="false" outlineLevel="0" collapsed="false">
      <c r="A1" s="8" t="s">
        <v>57</v>
      </c>
      <c r="B1" s="8" t="s">
        <v>58</v>
      </c>
      <c r="C1" s="8" t="s">
        <v>59</v>
      </c>
      <c r="D1" s="8" t="s">
        <v>60</v>
      </c>
      <c r="E1" s="8" t="s">
        <v>61</v>
      </c>
    </row>
    <row r="2" customFormat="false" ht="13.8" hidden="false" customHeight="false" outlineLevel="0" collapsed="false">
      <c r="A2" s="1" t="s">
        <v>62</v>
      </c>
    </row>
    <row r="4" customFormat="false" ht="13.8" hidden="false" customHeight="false" outlineLevel="0" collapsed="false">
      <c r="A4" s="9" t="s">
        <v>5</v>
      </c>
      <c r="B4" s="9" t="s">
        <v>63</v>
      </c>
      <c r="C4" s="9" t="s">
        <v>64</v>
      </c>
      <c r="D4" s="9" t="s">
        <v>65</v>
      </c>
      <c r="E4" s="9" t="s">
        <v>66</v>
      </c>
      <c r="F4" s="9" t="s">
        <v>67</v>
      </c>
    </row>
    <row r="5" customFormat="false" ht="13.8" hidden="false" customHeight="false" outlineLevel="0" collapsed="false">
      <c r="A5" s="5" t="s">
        <v>68</v>
      </c>
      <c r="B5" s="0" t="s">
        <v>69</v>
      </c>
      <c r="C5" s="5" t="n">
        <v>6</v>
      </c>
      <c r="D5" s="5" t="n">
        <v>2</v>
      </c>
      <c r="E5" s="5" t="n">
        <v>4</v>
      </c>
      <c r="F5" s="5" t="n">
        <v>4</v>
      </c>
    </row>
    <row r="6" customFormat="false" ht="13.8" hidden="false" customHeight="false" outlineLevel="0" collapsed="false">
      <c r="A6" s="5" t="s">
        <v>70</v>
      </c>
      <c r="B6" s="0" t="s">
        <v>71</v>
      </c>
      <c r="C6" s="5" t="n">
        <v>4</v>
      </c>
      <c r="D6" s="5" t="n">
        <v>0</v>
      </c>
      <c r="E6" s="5" t="n">
        <v>4</v>
      </c>
      <c r="F6" s="5" t="n">
        <v>4</v>
      </c>
    </row>
    <row r="7" customFormat="false" ht="13.8" hidden="false" customHeight="false" outlineLevel="0" collapsed="false">
      <c r="A7" s="5" t="s">
        <v>72</v>
      </c>
      <c r="B7" s="0" t="s">
        <v>73</v>
      </c>
      <c r="C7" s="5" t="n">
        <v>4</v>
      </c>
      <c r="D7" s="5" t="n">
        <v>0</v>
      </c>
      <c r="E7" s="5" t="n">
        <v>4</v>
      </c>
      <c r="F7" s="5" t="n">
        <v>4</v>
      </c>
    </row>
    <row r="8" customFormat="false" ht="14.9" hidden="false" customHeight="false" outlineLevel="0" collapsed="false">
      <c r="A8" s="5" t="s">
        <v>74</v>
      </c>
      <c r="B8" s="0" t="s">
        <v>75</v>
      </c>
      <c r="C8" s="5" t="n">
        <v>3</v>
      </c>
      <c r="D8" s="5" t="n">
        <v>0</v>
      </c>
      <c r="E8" s="5" t="n">
        <v>3</v>
      </c>
      <c r="F8" s="5" t="n">
        <v>3</v>
      </c>
      <c r="I8" s="10" t="s">
        <v>76</v>
      </c>
      <c r="J8" s="10"/>
    </row>
    <row r="9" customFormat="false" ht="13.8" hidden="false" customHeight="false" outlineLevel="0" collapsed="false">
      <c r="A9" s="5" t="s">
        <v>77</v>
      </c>
      <c r="B9" s="0" t="s">
        <v>78</v>
      </c>
      <c r="C9" s="5" t="n">
        <v>4</v>
      </c>
      <c r="D9" s="5" t="n">
        <v>0</v>
      </c>
      <c r="E9" s="5" t="n">
        <v>4</v>
      </c>
      <c r="F9" s="5" t="n">
        <v>4</v>
      </c>
      <c r="I9" s="11" t="s">
        <v>79</v>
      </c>
      <c r="J9" s="11"/>
      <c r="K9" s="11" t="s">
        <v>80</v>
      </c>
      <c r="L9" s="11"/>
    </row>
    <row r="10" customFormat="false" ht="13.8" hidden="false" customHeight="false" outlineLevel="0" collapsed="false">
      <c r="A10" s="5" t="s">
        <v>81</v>
      </c>
      <c r="B10" s="0" t="s">
        <v>82</v>
      </c>
      <c r="C10" s="5" t="n">
        <v>4</v>
      </c>
      <c r="D10" s="5" t="n">
        <v>0</v>
      </c>
      <c r="E10" s="5" t="n">
        <v>4</v>
      </c>
      <c r="F10" s="5" t="n">
        <v>4</v>
      </c>
      <c r="I10" s="0" t="s">
        <v>83</v>
      </c>
      <c r="J10" s="0" t="s">
        <v>84</v>
      </c>
      <c r="K10" s="0" t="s">
        <v>83</v>
      </c>
      <c r="L10" s="0" t="s">
        <v>84</v>
      </c>
    </row>
    <row r="11" customFormat="false" ht="13.8" hidden="false" customHeight="false" outlineLevel="0" collapsed="false">
      <c r="A11" s="5" t="s">
        <v>85</v>
      </c>
      <c r="B11" s="0" t="s">
        <v>86</v>
      </c>
      <c r="C11" s="5" t="n">
        <v>4</v>
      </c>
      <c r="D11" s="5" t="n">
        <v>0</v>
      </c>
      <c r="E11" s="5" t="n">
        <v>4</v>
      </c>
      <c r="F11" s="5" t="n">
        <v>4</v>
      </c>
      <c r="I11" s="0" t="n">
        <v>14</v>
      </c>
      <c r="J11" s="0" t="n">
        <v>1</v>
      </c>
      <c r="K11" s="0" t="n">
        <v>11</v>
      </c>
      <c r="L11" s="0" t="n">
        <v>4</v>
      </c>
    </row>
    <row r="12" customFormat="false" ht="13.8" hidden="false" customHeight="false" outlineLevel="0" collapsed="false">
      <c r="A12" s="5" t="s">
        <v>87</v>
      </c>
      <c r="B12" s="0" t="s">
        <v>73</v>
      </c>
      <c r="C12" s="5" t="n">
        <v>4</v>
      </c>
      <c r="D12" s="5" t="n">
        <v>0</v>
      </c>
      <c r="E12" s="5" t="n">
        <v>4</v>
      </c>
      <c r="F12" s="5" t="n">
        <v>4</v>
      </c>
    </row>
    <row r="13" customFormat="false" ht="13.8" hidden="false" customHeight="false" outlineLevel="0" collapsed="false">
      <c r="A13" s="5" t="s">
        <v>88</v>
      </c>
      <c r="B13" s="0" t="s">
        <v>73</v>
      </c>
      <c r="C13" s="5" t="n">
        <v>4</v>
      </c>
      <c r="D13" s="5" t="n">
        <v>0</v>
      </c>
      <c r="E13" s="5" t="n">
        <v>4</v>
      </c>
      <c r="F13" s="5" t="n">
        <v>4</v>
      </c>
    </row>
    <row r="14" customFormat="false" ht="13.8" hidden="false" customHeight="false" outlineLevel="0" collapsed="false">
      <c r="A14" s="5" t="s">
        <v>89</v>
      </c>
      <c r="B14" s="0" t="s">
        <v>90</v>
      </c>
      <c r="C14" s="5" t="n">
        <v>4</v>
      </c>
      <c r="D14" s="5" t="n">
        <v>0</v>
      </c>
      <c r="E14" s="5" t="n">
        <v>4</v>
      </c>
      <c r="F14" s="5" t="n">
        <v>4</v>
      </c>
    </row>
    <row r="15" customFormat="false" ht="13.8" hidden="false" customHeight="false" outlineLevel="0" collapsed="false">
      <c r="A15" s="5" t="s">
        <v>91</v>
      </c>
      <c r="B15" s="0" t="s">
        <v>92</v>
      </c>
      <c r="C15" s="5" t="n">
        <v>2</v>
      </c>
      <c r="D15" s="5" t="n">
        <v>0</v>
      </c>
      <c r="E15" s="5" t="n">
        <v>2</v>
      </c>
      <c r="F15" s="5" t="n">
        <v>2</v>
      </c>
    </row>
    <row r="16" customFormat="false" ht="13.8" hidden="false" customHeight="false" outlineLevel="0" collapsed="false">
      <c r="A16" s="5" t="s">
        <v>93</v>
      </c>
      <c r="B16" s="0" t="s">
        <v>94</v>
      </c>
      <c r="C16" s="5" t="n">
        <v>4</v>
      </c>
      <c r="D16" s="5" t="n">
        <v>0</v>
      </c>
      <c r="E16" s="5" t="n">
        <v>4</v>
      </c>
      <c r="F16" s="5" t="n">
        <v>4</v>
      </c>
    </row>
    <row r="17" customFormat="false" ht="13.8" hidden="false" customHeight="false" outlineLevel="0" collapsed="false">
      <c r="A17" s="5" t="s">
        <v>95</v>
      </c>
      <c r="B17" s="0" t="s">
        <v>96</v>
      </c>
      <c r="C17" s="5" t="n">
        <v>4</v>
      </c>
      <c r="D17" s="5" t="n">
        <v>0</v>
      </c>
      <c r="E17" s="5" t="n">
        <v>4</v>
      </c>
      <c r="F17" s="5" t="n">
        <v>4</v>
      </c>
    </row>
    <row r="18" customFormat="false" ht="13.8" hidden="false" customHeight="false" outlineLevel="0" collapsed="false">
      <c r="A18" s="5" t="s">
        <v>97</v>
      </c>
      <c r="B18" s="0" t="s">
        <v>98</v>
      </c>
      <c r="C18" s="5" t="n">
        <v>3</v>
      </c>
      <c r="D18" s="5" t="n">
        <v>0</v>
      </c>
      <c r="E18" s="5" t="n">
        <v>3</v>
      </c>
      <c r="F18" s="5" t="n">
        <v>3</v>
      </c>
    </row>
    <row r="19" customFormat="false" ht="13.8" hidden="false" customHeight="false" outlineLevel="0" collapsed="false">
      <c r="A19" s="5" t="s">
        <v>99</v>
      </c>
      <c r="B19" s="0" t="s">
        <v>100</v>
      </c>
      <c r="C19" s="5" t="n">
        <v>4</v>
      </c>
      <c r="D19" s="5" t="n">
        <v>0</v>
      </c>
      <c r="E19" s="5" t="n">
        <v>4</v>
      </c>
      <c r="F19" s="5" t="n">
        <v>4</v>
      </c>
    </row>
    <row r="21" customFormat="false" ht="13.8" hidden="false" customHeight="false" outlineLevel="0" collapsed="false">
      <c r="B21" s="6" t="s">
        <v>101</v>
      </c>
      <c r="C21" s="12" t="n">
        <f aca="false">SUM(C5:C19)</f>
        <v>58</v>
      </c>
      <c r="D21" s="12" t="n">
        <f aca="false">SUM(D5:D19)</f>
        <v>2</v>
      </c>
      <c r="E21" s="12" t="n">
        <f aca="false">SUM(E5:E19)</f>
        <v>56</v>
      </c>
      <c r="F21" s="12" t="n">
        <f aca="false">SUM(F5:F19)</f>
        <v>56</v>
      </c>
    </row>
    <row r="22" customFormat="false" ht="13.8" hidden="false" customHeight="false" outlineLevel="0" collapsed="false">
      <c r="B22" s="6" t="s">
        <v>102</v>
      </c>
      <c r="C22" s="13"/>
      <c r="D22" s="13" t="n">
        <f aca="false">D21/C21*100</f>
        <v>3.44827586206897</v>
      </c>
      <c r="E22" s="13" t="n">
        <f aca="false">E21/C21*100</f>
        <v>96.551724137931</v>
      </c>
      <c r="F22" s="13"/>
    </row>
    <row r="34" customFormat="false" ht="13.8" hidden="false" customHeight="false" outlineLevel="0" collapsed="false">
      <c r="A34" s="9" t="s">
        <v>5</v>
      </c>
      <c r="B34" s="9" t="s">
        <v>103</v>
      </c>
      <c r="C34" s="9" t="s">
        <v>104</v>
      </c>
      <c r="D34" s="9" t="s">
        <v>65</v>
      </c>
      <c r="E34" s="9" t="s">
        <v>66</v>
      </c>
      <c r="F34" s="9" t="s">
        <v>67</v>
      </c>
    </row>
    <row r="35" customFormat="false" ht="13.8" hidden="false" customHeight="false" outlineLevel="0" collapsed="false">
      <c r="A35" s="5" t="s">
        <v>68</v>
      </c>
      <c r="B35" s="0" t="s">
        <v>105</v>
      </c>
      <c r="C35" s="5" t="n">
        <v>4</v>
      </c>
      <c r="D35" s="5" t="n">
        <v>0</v>
      </c>
      <c r="E35" s="5" t="n">
        <v>4</v>
      </c>
      <c r="F35" s="5" t="n">
        <v>4</v>
      </c>
    </row>
    <row r="36" customFormat="false" ht="13.8" hidden="false" customHeight="false" outlineLevel="0" collapsed="false">
      <c r="A36" s="5" t="s">
        <v>70</v>
      </c>
      <c r="B36" s="0" t="s">
        <v>106</v>
      </c>
      <c r="C36" s="5" t="n">
        <v>2</v>
      </c>
      <c r="D36" s="5" t="n">
        <v>0</v>
      </c>
      <c r="E36" s="5" t="n">
        <v>2</v>
      </c>
      <c r="F36" s="5" t="n">
        <v>2</v>
      </c>
    </row>
    <row r="37" customFormat="false" ht="13.8" hidden="false" customHeight="false" outlineLevel="0" collapsed="false">
      <c r="A37" s="5" t="s">
        <v>72</v>
      </c>
      <c r="B37" s="0" t="s">
        <v>107</v>
      </c>
      <c r="C37" s="5" t="n">
        <v>3</v>
      </c>
      <c r="D37" s="5" t="n">
        <v>1</v>
      </c>
      <c r="E37" s="5" t="n">
        <v>2</v>
      </c>
      <c r="F37" s="5" t="n">
        <v>4</v>
      </c>
    </row>
    <row r="38" customFormat="false" ht="13.8" hidden="false" customHeight="false" outlineLevel="0" collapsed="false">
      <c r="A38" s="5" t="s">
        <v>74</v>
      </c>
      <c r="B38" s="0" t="s">
        <v>108</v>
      </c>
      <c r="C38" s="5" t="n">
        <v>4</v>
      </c>
      <c r="D38" s="5" t="n">
        <v>0</v>
      </c>
      <c r="E38" s="5" t="n">
        <v>4</v>
      </c>
      <c r="F38" s="5" t="n">
        <v>4</v>
      </c>
    </row>
    <row r="39" customFormat="false" ht="13.8" hidden="false" customHeight="false" outlineLevel="0" collapsed="false">
      <c r="A39" s="5" t="s">
        <v>77</v>
      </c>
      <c r="B39" s="0" t="s">
        <v>109</v>
      </c>
      <c r="C39" s="5" t="n">
        <v>4</v>
      </c>
      <c r="D39" s="5" t="n">
        <v>0</v>
      </c>
      <c r="E39" s="5" t="n">
        <v>4</v>
      </c>
      <c r="F39" s="5" t="n">
        <v>4</v>
      </c>
    </row>
    <row r="40" customFormat="false" ht="13.8" hidden="false" customHeight="false" outlineLevel="0" collapsed="false">
      <c r="A40" s="5" t="s">
        <v>81</v>
      </c>
      <c r="B40" s="0" t="s">
        <v>110</v>
      </c>
      <c r="C40" s="5" t="n">
        <v>4</v>
      </c>
      <c r="D40" s="5" t="n">
        <v>0</v>
      </c>
      <c r="E40" s="5" t="n">
        <v>4</v>
      </c>
      <c r="F40" s="5" t="n">
        <v>4</v>
      </c>
    </row>
    <row r="41" customFormat="false" ht="13.8" hidden="false" customHeight="false" outlineLevel="0" collapsed="false">
      <c r="A41" s="5" t="s">
        <v>85</v>
      </c>
      <c r="B41" s="0" t="s">
        <v>111</v>
      </c>
      <c r="C41" s="5" t="n">
        <v>4</v>
      </c>
      <c r="D41" s="5" t="n">
        <v>0</v>
      </c>
      <c r="E41" s="5" t="n">
        <v>4</v>
      </c>
      <c r="F41" s="5" t="n">
        <v>4</v>
      </c>
    </row>
    <row r="42" customFormat="false" ht="13.8" hidden="false" customHeight="false" outlineLevel="0" collapsed="false">
      <c r="A42" s="5" t="s">
        <v>87</v>
      </c>
      <c r="B42" s="0" t="s">
        <v>112</v>
      </c>
      <c r="C42" s="5" t="n">
        <v>4</v>
      </c>
      <c r="D42" s="5" t="n">
        <v>0</v>
      </c>
      <c r="E42" s="5" t="n">
        <v>4</v>
      </c>
      <c r="F42" s="5" t="n">
        <v>4</v>
      </c>
    </row>
    <row r="43" customFormat="false" ht="13.8" hidden="false" customHeight="false" outlineLevel="0" collapsed="false">
      <c r="A43" s="5" t="s">
        <v>88</v>
      </c>
      <c r="B43" s="0" t="s">
        <v>113</v>
      </c>
      <c r="C43" s="5" t="n">
        <v>2</v>
      </c>
      <c r="D43" s="5" t="n">
        <v>1</v>
      </c>
      <c r="E43" s="5" t="n">
        <v>1</v>
      </c>
      <c r="F43" s="5" t="n">
        <v>3</v>
      </c>
    </row>
    <row r="44" customFormat="false" ht="13.8" hidden="false" customHeight="false" outlineLevel="0" collapsed="false">
      <c r="A44" s="5" t="s">
        <v>89</v>
      </c>
      <c r="B44" s="0" t="s">
        <v>98</v>
      </c>
      <c r="C44" s="5" t="n">
        <v>3</v>
      </c>
      <c r="D44" s="5" t="n">
        <v>0</v>
      </c>
      <c r="E44" s="5" t="n">
        <v>3</v>
      </c>
      <c r="F44" s="5" t="n">
        <v>3</v>
      </c>
    </row>
    <row r="45" customFormat="false" ht="13.8" hidden="false" customHeight="false" outlineLevel="0" collapsed="false">
      <c r="A45" s="5" t="s">
        <v>91</v>
      </c>
      <c r="B45" s="0" t="s">
        <v>114</v>
      </c>
      <c r="C45" s="5" t="n">
        <v>4</v>
      </c>
      <c r="D45" s="5" t="n">
        <v>0</v>
      </c>
      <c r="E45" s="5" t="n">
        <v>4</v>
      </c>
      <c r="F45" s="5" t="n">
        <v>4</v>
      </c>
    </row>
    <row r="46" customFormat="false" ht="13.8" hidden="false" customHeight="false" outlineLevel="0" collapsed="false">
      <c r="A46" s="5" t="s">
        <v>93</v>
      </c>
      <c r="B46" s="0" t="s">
        <v>115</v>
      </c>
      <c r="C46" s="5" t="n">
        <v>4</v>
      </c>
      <c r="D46" s="5" t="n">
        <v>2</v>
      </c>
      <c r="E46" s="5" t="n">
        <v>2</v>
      </c>
      <c r="F46" s="5" t="n">
        <v>4</v>
      </c>
    </row>
    <row r="47" customFormat="false" ht="13.8" hidden="false" customHeight="false" outlineLevel="0" collapsed="false">
      <c r="A47" s="5" t="s">
        <v>95</v>
      </c>
      <c r="B47" s="0" t="s">
        <v>116</v>
      </c>
      <c r="C47" s="5" t="n">
        <v>4</v>
      </c>
      <c r="D47" s="5" t="n">
        <v>0</v>
      </c>
      <c r="E47" s="5" t="n">
        <v>4</v>
      </c>
      <c r="F47" s="5" t="n">
        <v>4</v>
      </c>
    </row>
    <row r="48" customFormat="false" ht="13.8" hidden="false" customHeight="false" outlineLevel="0" collapsed="false">
      <c r="A48" s="5" t="s">
        <v>97</v>
      </c>
      <c r="B48" s="0" t="s">
        <v>117</v>
      </c>
      <c r="C48" s="5" t="n">
        <v>4</v>
      </c>
      <c r="D48" s="5" t="n">
        <v>2</v>
      </c>
      <c r="E48" s="5" t="n">
        <v>2</v>
      </c>
      <c r="F48" s="5" t="n">
        <v>4</v>
      </c>
    </row>
    <row r="49" customFormat="false" ht="13.8" hidden="false" customHeight="false" outlineLevel="0" collapsed="false">
      <c r="A49" s="5" t="s">
        <v>99</v>
      </c>
      <c r="B49" s="0" t="s">
        <v>118</v>
      </c>
      <c r="C49" s="5" t="n">
        <v>3</v>
      </c>
      <c r="D49" s="5" t="n">
        <v>0</v>
      </c>
      <c r="E49" s="5" t="n">
        <v>3</v>
      </c>
      <c r="F49" s="5" t="n">
        <v>3</v>
      </c>
    </row>
    <row r="51" customFormat="false" ht="13.8" hidden="false" customHeight="false" outlineLevel="0" collapsed="false">
      <c r="B51" s="6" t="s">
        <v>101</v>
      </c>
      <c r="C51" s="12" t="n">
        <f aca="false">SUM(C35:C49)</f>
        <v>53</v>
      </c>
      <c r="D51" s="12" t="n">
        <f aca="false">SUM(D35:D49)</f>
        <v>6</v>
      </c>
      <c r="E51" s="12" t="n">
        <f aca="false">SUM(E35:E49)</f>
        <v>47</v>
      </c>
      <c r="F51" s="12" t="n">
        <f aca="false">SUM(F35:F49)</f>
        <v>55</v>
      </c>
    </row>
    <row r="52" customFormat="false" ht="13.8" hidden="false" customHeight="false" outlineLevel="0" collapsed="false">
      <c r="B52" s="6" t="s">
        <v>102</v>
      </c>
      <c r="C52" s="13"/>
      <c r="D52" s="13" t="n">
        <f aca="false">D51/C51*100</f>
        <v>11.3207547169811</v>
      </c>
      <c r="E52" s="13" t="n">
        <f aca="false">E51/C51*100</f>
        <v>88.6792452830189</v>
      </c>
      <c r="F52" s="13"/>
    </row>
  </sheetData>
  <mergeCells count="2">
    <mergeCell ref="I9:J9"/>
    <mergeCell ref="K9:L9"/>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82"/>
  <sheetViews>
    <sheetView showFormulas="false" showGridLines="true" showRowColHeaders="true" showZeros="true" rightToLeft="false" tabSelected="false" showOutlineSymbols="true" defaultGridColor="true" view="normal" topLeftCell="A16" colorId="64" zoomScale="81" zoomScaleNormal="81" zoomScalePageLayoutView="100" workbookViewId="0">
      <selection pane="topLeft" activeCell="E79" activeCellId="0" sqref="E79"/>
    </sheetView>
  </sheetViews>
  <sheetFormatPr defaultColWidth="10.58203125" defaultRowHeight="13.8" zeroHeight="false" outlineLevelRow="0" outlineLevelCol="0"/>
  <cols>
    <col collapsed="false" customWidth="true" hidden="false" outlineLevel="0" max="1" min="1" style="0" width="26.89"/>
    <col collapsed="false" customWidth="true" hidden="false" outlineLevel="0" max="2" min="2" style="0" width="25.55"/>
    <col collapsed="false" customWidth="true" hidden="false" outlineLevel="0" max="3" min="3" style="0" width="80.89"/>
    <col collapsed="false" customWidth="true" hidden="false" outlineLevel="0" max="4" min="4" style="0" width="42.44"/>
    <col collapsed="false" customWidth="true" hidden="false" outlineLevel="0" max="6" min="5" style="0" width="27.09"/>
  </cols>
  <sheetData>
    <row r="1" customFormat="false" ht="13.8" hidden="false" customHeight="false" outlineLevel="0" collapsed="false">
      <c r="A1" s="8" t="s">
        <v>57</v>
      </c>
      <c r="B1" s="8" t="s">
        <v>119</v>
      </c>
      <c r="C1" s="8" t="s">
        <v>120</v>
      </c>
      <c r="D1" s="8" t="s">
        <v>58</v>
      </c>
      <c r="E1" s="8" t="s">
        <v>59</v>
      </c>
    </row>
    <row r="2" customFormat="false" ht="13.8" hidden="false" customHeight="false" outlineLevel="0" collapsed="false">
      <c r="A2" s="1" t="s">
        <v>121</v>
      </c>
    </row>
    <row r="3" customFormat="false" ht="13.8" hidden="false" customHeight="false" outlineLevel="0" collapsed="false">
      <c r="A3" s="1" t="s">
        <v>5</v>
      </c>
      <c r="B3" s="1" t="s">
        <v>122</v>
      </c>
      <c r="C3" s="1" t="s">
        <v>123</v>
      </c>
    </row>
    <row r="4" customFormat="false" ht="13.8" hidden="false" customHeight="false" outlineLevel="0" collapsed="false">
      <c r="A4" s="0" t="s">
        <v>68</v>
      </c>
      <c r="B4" s="1" t="s">
        <v>124</v>
      </c>
      <c r="C4" s="0" t="s">
        <v>125</v>
      </c>
    </row>
    <row r="5" customFormat="false" ht="13.8" hidden="false" customHeight="false" outlineLevel="0" collapsed="false">
      <c r="A5" s="0" t="s">
        <v>68</v>
      </c>
      <c r="B5" s="1" t="s">
        <v>126</v>
      </c>
      <c r="C5" s="0" t="n">
        <v>4</v>
      </c>
    </row>
    <row r="6" customFormat="false" ht="13.8" hidden="false" customHeight="false" outlineLevel="0" collapsed="false">
      <c r="A6" s="0" t="s">
        <v>68</v>
      </c>
      <c r="B6" s="1" t="s">
        <v>127</v>
      </c>
      <c r="C6" s="0" t="n">
        <v>0</v>
      </c>
    </row>
    <row r="7" customFormat="false" ht="13.8" hidden="false" customHeight="false" outlineLevel="0" collapsed="false">
      <c r="A7" s="0" t="s">
        <v>68</v>
      </c>
      <c r="B7" s="1" t="s">
        <v>128</v>
      </c>
      <c r="C7" s="0" t="n">
        <v>4</v>
      </c>
    </row>
    <row r="8" customFormat="false" ht="13.8" hidden="false" customHeight="false" outlineLevel="0" collapsed="false">
      <c r="B8" s="1"/>
    </row>
    <row r="9" customFormat="false" ht="13.8" hidden="false" customHeight="false" outlineLevel="0" collapsed="false">
      <c r="A9" s="0" t="s">
        <v>70</v>
      </c>
      <c r="B9" s="1" t="s">
        <v>124</v>
      </c>
      <c r="C9" s="0" t="s">
        <v>129</v>
      </c>
    </row>
    <row r="10" customFormat="false" ht="13.8" hidden="false" customHeight="false" outlineLevel="0" collapsed="false">
      <c r="A10" s="0" t="s">
        <v>70</v>
      </c>
      <c r="B10" s="1" t="s">
        <v>126</v>
      </c>
      <c r="C10" s="0" t="n">
        <v>4</v>
      </c>
    </row>
    <row r="11" customFormat="false" ht="13.8" hidden="false" customHeight="false" outlineLevel="0" collapsed="false">
      <c r="A11" s="0" t="s">
        <v>70</v>
      </c>
      <c r="B11" s="1" t="s">
        <v>127</v>
      </c>
      <c r="C11" s="0" t="n">
        <v>0</v>
      </c>
    </row>
    <row r="12" customFormat="false" ht="13.8" hidden="false" customHeight="false" outlineLevel="0" collapsed="false">
      <c r="A12" s="0" t="s">
        <v>70</v>
      </c>
      <c r="B12" s="1" t="s">
        <v>128</v>
      </c>
      <c r="C12" s="0" t="n">
        <v>4</v>
      </c>
    </row>
    <row r="13" customFormat="false" ht="13.8" hidden="false" customHeight="false" outlineLevel="0" collapsed="false">
      <c r="B13" s="1"/>
    </row>
    <row r="14" customFormat="false" ht="13.8" hidden="false" customHeight="false" outlineLevel="0" collapsed="false">
      <c r="A14" s="0" t="s">
        <v>72</v>
      </c>
      <c r="B14" s="1" t="s">
        <v>124</v>
      </c>
      <c r="C14" s="0" t="s">
        <v>130</v>
      </c>
    </row>
    <row r="15" customFormat="false" ht="13.8" hidden="false" customHeight="false" outlineLevel="0" collapsed="false">
      <c r="A15" s="0" t="s">
        <v>72</v>
      </c>
      <c r="B15" s="1" t="s">
        <v>126</v>
      </c>
      <c r="C15" s="0" t="n">
        <v>4</v>
      </c>
    </row>
    <row r="16" customFormat="false" ht="13.8" hidden="false" customHeight="false" outlineLevel="0" collapsed="false">
      <c r="A16" s="0" t="s">
        <v>72</v>
      </c>
      <c r="B16" s="1" t="s">
        <v>127</v>
      </c>
      <c r="C16" s="0" t="n">
        <v>2</v>
      </c>
    </row>
    <row r="17" customFormat="false" ht="13.8" hidden="false" customHeight="false" outlineLevel="0" collapsed="false">
      <c r="A17" s="0" t="s">
        <v>72</v>
      </c>
      <c r="B17" s="1" t="s">
        <v>128</v>
      </c>
      <c r="C17" s="0" t="n">
        <v>2</v>
      </c>
    </row>
    <row r="18" customFormat="false" ht="13.8" hidden="false" customHeight="false" outlineLevel="0" collapsed="false">
      <c r="B18" s="1"/>
    </row>
    <row r="19" customFormat="false" ht="13.8" hidden="false" customHeight="false" outlineLevel="0" collapsed="false">
      <c r="A19" s="0" t="s">
        <v>74</v>
      </c>
      <c r="B19" s="1" t="s">
        <v>124</v>
      </c>
      <c r="C19" s="0" t="s">
        <v>131</v>
      </c>
    </row>
    <row r="20" customFormat="false" ht="13.8" hidden="false" customHeight="false" outlineLevel="0" collapsed="false">
      <c r="A20" s="0" t="s">
        <v>74</v>
      </c>
      <c r="B20" s="1" t="s">
        <v>126</v>
      </c>
      <c r="C20" s="0" t="n">
        <v>3</v>
      </c>
    </row>
    <row r="21" customFormat="false" ht="13.8" hidden="false" customHeight="false" outlineLevel="0" collapsed="false">
      <c r="A21" s="0" t="s">
        <v>74</v>
      </c>
      <c r="B21" s="1" t="s">
        <v>127</v>
      </c>
      <c r="C21" s="0" t="n">
        <v>0</v>
      </c>
    </row>
    <row r="22" customFormat="false" ht="13.8" hidden="false" customHeight="false" outlineLevel="0" collapsed="false">
      <c r="A22" s="0" t="s">
        <v>74</v>
      </c>
      <c r="B22" s="1" t="s">
        <v>128</v>
      </c>
      <c r="C22" s="0" t="n">
        <v>3</v>
      </c>
    </row>
    <row r="23" customFormat="false" ht="13.8" hidden="false" customHeight="false" outlineLevel="0" collapsed="false">
      <c r="B23" s="1"/>
    </row>
    <row r="24" customFormat="false" ht="13.8" hidden="false" customHeight="false" outlineLevel="0" collapsed="false">
      <c r="A24" s="0" t="s">
        <v>77</v>
      </c>
      <c r="B24" s="1" t="s">
        <v>124</v>
      </c>
      <c r="C24" s="0" t="s">
        <v>132</v>
      </c>
    </row>
    <row r="25" customFormat="false" ht="13.8" hidden="false" customHeight="false" outlineLevel="0" collapsed="false">
      <c r="A25" s="0" t="s">
        <v>77</v>
      </c>
      <c r="B25" s="1" t="s">
        <v>126</v>
      </c>
      <c r="C25" s="0" t="n">
        <v>4</v>
      </c>
    </row>
    <row r="26" customFormat="false" ht="13.8" hidden="false" customHeight="false" outlineLevel="0" collapsed="false">
      <c r="A26" s="0" t="s">
        <v>77</v>
      </c>
      <c r="B26" s="1" t="s">
        <v>127</v>
      </c>
      <c r="C26" s="0" t="n">
        <v>2</v>
      </c>
    </row>
    <row r="27" customFormat="false" ht="13.8" hidden="false" customHeight="false" outlineLevel="0" collapsed="false">
      <c r="A27" s="0" t="s">
        <v>77</v>
      </c>
      <c r="B27" s="1" t="s">
        <v>128</v>
      </c>
      <c r="C27" s="0" t="n">
        <v>2</v>
      </c>
    </row>
    <row r="28" customFormat="false" ht="13.8" hidden="false" customHeight="false" outlineLevel="0" collapsed="false">
      <c r="B28" s="1"/>
    </row>
    <row r="29" customFormat="false" ht="13.8" hidden="false" customHeight="false" outlineLevel="0" collapsed="false">
      <c r="A29" s="0" t="s">
        <v>81</v>
      </c>
      <c r="B29" s="1" t="s">
        <v>124</v>
      </c>
      <c r="C29" s="0" t="s">
        <v>133</v>
      </c>
    </row>
    <row r="30" customFormat="false" ht="13.8" hidden="false" customHeight="false" outlineLevel="0" collapsed="false">
      <c r="A30" s="0" t="s">
        <v>81</v>
      </c>
      <c r="B30" s="1" t="s">
        <v>126</v>
      </c>
      <c r="C30" s="0" t="n">
        <v>4</v>
      </c>
    </row>
    <row r="31" customFormat="false" ht="13.8" hidden="false" customHeight="false" outlineLevel="0" collapsed="false">
      <c r="A31" s="0" t="s">
        <v>81</v>
      </c>
      <c r="B31" s="1" t="s">
        <v>127</v>
      </c>
      <c r="C31" s="0" t="n">
        <v>0</v>
      </c>
    </row>
    <row r="32" customFormat="false" ht="13.8" hidden="false" customHeight="false" outlineLevel="0" collapsed="false">
      <c r="A32" s="0" t="s">
        <v>81</v>
      </c>
      <c r="B32" s="1" t="s">
        <v>128</v>
      </c>
      <c r="C32" s="0" t="n">
        <v>4</v>
      </c>
    </row>
    <row r="33" customFormat="false" ht="13.8" hidden="false" customHeight="false" outlineLevel="0" collapsed="false">
      <c r="B33" s="1"/>
    </row>
    <row r="34" customFormat="false" ht="13.8" hidden="false" customHeight="false" outlineLevel="0" collapsed="false">
      <c r="A34" s="0" t="s">
        <v>85</v>
      </c>
      <c r="B34" s="1" t="s">
        <v>124</v>
      </c>
      <c r="C34" s="0" t="s">
        <v>134</v>
      </c>
    </row>
    <row r="35" customFormat="false" ht="13.8" hidden="false" customHeight="false" outlineLevel="0" collapsed="false">
      <c r="A35" s="0" t="s">
        <v>85</v>
      </c>
      <c r="B35" s="1" t="s">
        <v>126</v>
      </c>
      <c r="C35" s="0" t="n">
        <v>4</v>
      </c>
    </row>
    <row r="36" customFormat="false" ht="13.8" hidden="false" customHeight="false" outlineLevel="0" collapsed="false">
      <c r="A36" s="0" t="s">
        <v>85</v>
      </c>
      <c r="B36" s="1" t="s">
        <v>127</v>
      </c>
      <c r="C36" s="0" t="n">
        <v>2</v>
      </c>
    </row>
    <row r="37" customFormat="false" ht="13.8" hidden="false" customHeight="false" outlineLevel="0" collapsed="false">
      <c r="A37" s="0" t="s">
        <v>85</v>
      </c>
      <c r="B37" s="1" t="s">
        <v>128</v>
      </c>
      <c r="C37" s="0" t="n">
        <v>2</v>
      </c>
    </row>
    <row r="38" customFormat="false" ht="13.8" hidden="false" customHeight="false" outlineLevel="0" collapsed="false">
      <c r="B38" s="1"/>
    </row>
    <row r="39" customFormat="false" ht="13.8" hidden="false" customHeight="false" outlineLevel="0" collapsed="false">
      <c r="A39" s="0" t="s">
        <v>87</v>
      </c>
      <c r="B39" s="1" t="s">
        <v>124</v>
      </c>
      <c r="C39" s="0" t="s">
        <v>135</v>
      </c>
    </row>
    <row r="40" customFormat="false" ht="13.8" hidden="false" customHeight="false" outlineLevel="0" collapsed="false">
      <c r="A40" s="0" t="s">
        <v>87</v>
      </c>
      <c r="B40" s="1" t="s">
        <v>126</v>
      </c>
      <c r="C40" s="0" t="n">
        <v>4</v>
      </c>
    </row>
    <row r="41" customFormat="false" ht="13.8" hidden="false" customHeight="false" outlineLevel="0" collapsed="false">
      <c r="A41" s="0" t="s">
        <v>87</v>
      </c>
      <c r="B41" s="1" t="s">
        <v>127</v>
      </c>
      <c r="C41" s="0" t="n">
        <v>0</v>
      </c>
    </row>
    <row r="42" customFormat="false" ht="13.8" hidden="false" customHeight="false" outlineLevel="0" collapsed="false">
      <c r="A42" s="0" t="s">
        <v>87</v>
      </c>
      <c r="B42" s="1" t="s">
        <v>128</v>
      </c>
      <c r="C42" s="0" t="n">
        <v>4</v>
      </c>
    </row>
    <row r="43" customFormat="false" ht="13.8" hidden="false" customHeight="false" outlineLevel="0" collapsed="false">
      <c r="B43" s="1"/>
    </row>
    <row r="44" customFormat="false" ht="13.8" hidden="false" customHeight="false" outlineLevel="0" collapsed="false">
      <c r="A44" s="0" t="s">
        <v>88</v>
      </c>
      <c r="B44" s="1" t="s">
        <v>124</v>
      </c>
      <c r="C44" s="0" t="s">
        <v>136</v>
      </c>
    </row>
    <row r="45" customFormat="false" ht="13.8" hidden="false" customHeight="false" outlineLevel="0" collapsed="false">
      <c r="A45" s="0" t="s">
        <v>88</v>
      </c>
      <c r="B45" s="1" t="s">
        <v>126</v>
      </c>
      <c r="C45" s="0" t="n">
        <v>4</v>
      </c>
    </row>
    <row r="46" customFormat="false" ht="13.8" hidden="false" customHeight="false" outlineLevel="0" collapsed="false">
      <c r="A46" s="0" t="s">
        <v>88</v>
      </c>
      <c r="B46" s="1" t="s">
        <v>127</v>
      </c>
      <c r="C46" s="0" t="n">
        <v>0</v>
      </c>
    </row>
    <row r="47" customFormat="false" ht="13.8" hidden="false" customHeight="false" outlineLevel="0" collapsed="false">
      <c r="A47" s="0" t="s">
        <v>88</v>
      </c>
      <c r="B47" s="1" t="s">
        <v>128</v>
      </c>
      <c r="C47" s="0" t="n">
        <v>4</v>
      </c>
    </row>
    <row r="48" customFormat="false" ht="13.8" hidden="false" customHeight="false" outlineLevel="0" collapsed="false">
      <c r="B48" s="1"/>
    </row>
    <row r="49" customFormat="false" ht="13.8" hidden="false" customHeight="false" outlineLevel="0" collapsed="false">
      <c r="A49" s="0" t="s">
        <v>89</v>
      </c>
      <c r="B49" s="1" t="s">
        <v>124</v>
      </c>
      <c r="C49" s="0" t="s">
        <v>137</v>
      </c>
    </row>
    <row r="50" customFormat="false" ht="13.8" hidden="false" customHeight="false" outlineLevel="0" collapsed="false">
      <c r="A50" s="0" t="s">
        <v>89</v>
      </c>
      <c r="B50" s="1" t="s">
        <v>126</v>
      </c>
      <c r="C50" s="0" t="n">
        <v>4</v>
      </c>
    </row>
    <row r="51" customFormat="false" ht="13.8" hidden="false" customHeight="false" outlineLevel="0" collapsed="false">
      <c r="A51" s="0" t="s">
        <v>89</v>
      </c>
      <c r="B51" s="1" t="s">
        <v>127</v>
      </c>
      <c r="C51" s="0" t="n">
        <v>2</v>
      </c>
    </row>
    <row r="52" customFormat="false" ht="13.8" hidden="false" customHeight="false" outlineLevel="0" collapsed="false">
      <c r="A52" s="0" t="s">
        <v>89</v>
      </c>
      <c r="B52" s="1" t="s">
        <v>128</v>
      </c>
      <c r="C52" s="0" t="n">
        <v>2</v>
      </c>
    </row>
    <row r="53" customFormat="false" ht="13.8" hidden="false" customHeight="false" outlineLevel="0" collapsed="false">
      <c r="B53" s="1"/>
    </row>
    <row r="54" customFormat="false" ht="13.8" hidden="false" customHeight="false" outlineLevel="0" collapsed="false">
      <c r="A54" s="0" t="s">
        <v>91</v>
      </c>
      <c r="B54" s="1" t="s">
        <v>124</v>
      </c>
      <c r="C54" s="0" t="s">
        <v>138</v>
      </c>
    </row>
    <row r="55" customFormat="false" ht="13.8" hidden="false" customHeight="false" outlineLevel="0" collapsed="false">
      <c r="A55" s="0" t="s">
        <v>91</v>
      </c>
      <c r="B55" s="1" t="s">
        <v>126</v>
      </c>
      <c r="C55" s="0" t="n">
        <v>2</v>
      </c>
    </row>
    <row r="56" customFormat="false" ht="13.8" hidden="false" customHeight="false" outlineLevel="0" collapsed="false">
      <c r="A56" s="0" t="s">
        <v>91</v>
      </c>
      <c r="B56" s="1" t="s">
        <v>127</v>
      </c>
      <c r="C56" s="0" t="n">
        <v>0</v>
      </c>
    </row>
    <row r="57" customFormat="false" ht="13.8" hidden="false" customHeight="false" outlineLevel="0" collapsed="false">
      <c r="A57" s="0" t="s">
        <v>91</v>
      </c>
      <c r="B57" s="1" t="s">
        <v>128</v>
      </c>
      <c r="C57" s="0" t="n">
        <v>2</v>
      </c>
    </row>
    <row r="58" customFormat="false" ht="13.8" hidden="false" customHeight="false" outlineLevel="0" collapsed="false">
      <c r="B58" s="1"/>
    </row>
    <row r="59" customFormat="false" ht="13.8" hidden="false" customHeight="false" outlineLevel="0" collapsed="false">
      <c r="A59" s="0" t="s">
        <v>93</v>
      </c>
      <c r="B59" s="1" t="s">
        <v>124</v>
      </c>
      <c r="C59" s="0" t="s">
        <v>139</v>
      </c>
    </row>
    <row r="60" customFormat="false" ht="13.8" hidden="false" customHeight="false" outlineLevel="0" collapsed="false">
      <c r="A60" s="0" t="s">
        <v>93</v>
      </c>
      <c r="B60" s="1" t="s">
        <v>126</v>
      </c>
      <c r="C60" s="0" t="n">
        <v>4</v>
      </c>
    </row>
    <row r="61" customFormat="false" ht="13.8" hidden="false" customHeight="false" outlineLevel="0" collapsed="false">
      <c r="A61" s="0" t="s">
        <v>93</v>
      </c>
      <c r="B61" s="1" t="s">
        <v>127</v>
      </c>
      <c r="C61" s="0" t="n">
        <v>0</v>
      </c>
    </row>
    <row r="62" customFormat="false" ht="13.8" hidden="false" customHeight="false" outlineLevel="0" collapsed="false">
      <c r="A62" s="0" t="s">
        <v>93</v>
      </c>
      <c r="B62" s="1" t="s">
        <v>128</v>
      </c>
      <c r="C62" s="0" t="n">
        <v>4</v>
      </c>
    </row>
    <row r="63" customFormat="false" ht="13.8" hidden="false" customHeight="false" outlineLevel="0" collapsed="false">
      <c r="B63" s="1"/>
    </row>
    <row r="64" customFormat="false" ht="13.8" hidden="false" customHeight="false" outlineLevel="0" collapsed="false">
      <c r="A64" s="0" t="s">
        <v>95</v>
      </c>
      <c r="B64" s="1" t="s">
        <v>124</v>
      </c>
      <c r="C64" s="0" t="s">
        <v>140</v>
      </c>
    </row>
    <row r="65" customFormat="false" ht="13.8" hidden="false" customHeight="false" outlineLevel="0" collapsed="false">
      <c r="A65" s="0" t="s">
        <v>95</v>
      </c>
      <c r="B65" s="1" t="s">
        <v>126</v>
      </c>
      <c r="C65" s="0" t="n">
        <v>4</v>
      </c>
    </row>
    <row r="66" customFormat="false" ht="13.8" hidden="false" customHeight="false" outlineLevel="0" collapsed="false">
      <c r="A66" s="0" t="s">
        <v>95</v>
      </c>
      <c r="B66" s="1" t="s">
        <v>127</v>
      </c>
      <c r="C66" s="0" t="n">
        <v>0</v>
      </c>
    </row>
    <row r="67" customFormat="false" ht="13.8" hidden="false" customHeight="false" outlineLevel="0" collapsed="false">
      <c r="A67" s="0" t="s">
        <v>95</v>
      </c>
      <c r="B67" s="1" t="s">
        <v>128</v>
      </c>
      <c r="C67" s="0" t="n">
        <v>4</v>
      </c>
    </row>
    <row r="68" customFormat="false" ht="13.8" hidden="false" customHeight="false" outlineLevel="0" collapsed="false">
      <c r="B68" s="1"/>
    </row>
    <row r="69" customFormat="false" ht="13.8" hidden="false" customHeight="false" outlineLevel="0" collapsed="false">
      <c r="A69" s="0" t="s">
        <v>97</v>
      </c>
      <c r="B69" s="1" t="s">
        <v>124</v>
      </c>
      <c r="C69" s="0" t="s">
        <v>141</v>
      </c>
    </row>
    <row r="70" customFormat="false" ht="13.8" hidden="false" customHeight="false" outlineLevel="0" collapsed="false">
      <c r="A70" s="0" t="s">
        <v>97</v>
      </c>
      <c r="B70" s="1" t="s">
        <v>126</v>
      </c>
      <c r="C70" s="0" t="n">
        <v>3</v>
      </c>
    </row>
    <row r="71" customFormat="false" ht="13.8" hidden="false" customHeight="false" outlineLevel="0" collapsed="false">
      <c r="A71" s="0" t="s">
        <v>97</v>
      </c>
      <c r="B71" s="1" t="s">
        <v>127</v>
      </c>
      <c r="C71" s="0" t="n">
        <v>0</v>
      </c>
    </row>
    <row r="72" customFormat="false" ht="13.8" hidden="false" customHeight="false" outlineLevel="0" collapsed="false">
      <c r="A72" s="0" t="s">
        <v>97</v>
      </c>
      <c r="B72" s="1" t="s">
        <v>128</v>
      </c>
      <c r="C72" s="0" t="n">
        <v>3</v>
      </c>
    </row>
    <row r="73" customFormat="false" ht="13.8" hidden="false" customHeight="false" outlineLevel="0" collapsed="false">
      <c r="B73" s="1"/>
    </row>
    <row r="74" customFormat="false" ht="13.8" hidden="false" customHeight="false" outlineLevel="0" collapsed="false">
      <c r="A74" s="0" t="s">
        <v>99</v>
      </c>
      <c r="B74" s="1" t="s">
        <v>124</v>
      </c>
      <c r="C74" s="0" t="s">
        <v>142</v>
      </c>
    </row>
    <row r="75" customFormat="false" ht="13.8" hidden="false" customHeight="false" outlineLevel="0" collapsed="false">
      <c r="A75" s="0" t="s">
        <v>99</v>
      </c>
      <c r="B75" s="1" t="s">
        <v>126</v>
      </c>
      <c r="C75" s="0" t="n">
        <v>4</v>
      </c>
    </row>
    <row r="76" customFormat="false" ht="13.8" hidden="false" customHeight="false" outlineLevel="0" collapsed="false">
      <c r="A76" s="0" t="s">
        <v>99</v>
      </c>
      <c r="B76" s="1" t="s">
        <v>127</v>
      </c>
      <c r="C76" s="0" t="n">
        <v>2</v>
      </c>
    </row>
    <row r="77" customFormat="false" ht="13.8" hidden="false" customHeight="false" outlineLevel="0" collapsed="false">
      <c r="A77" s="0" t="s">
        <v>99</v>
      </c>
      <c r="B77" s="1" t="s">
        <v>128</v>
      </c>
      <c r="C77" s="0" t="n">
        <v>2</v>
      </c>
    </row>
    <row r="78" customFormat="false" ht="13.8" hidden="false" customHeight="false" outlineLevel="0" collapsed="false">
      <c r="B78" s="1"/>
    </row>
    <row r="79" customFormat="false" ht="14.7" hidden="false" customHeight="false" outlineLevel="0" collapsed="false">
      <c r="B79" s="6" t="s">
        <v>126</v>
      </c>
      <c r="C79" s="7" t="n">
        <f aca="false">SUM(C5,C10,C15,C20,C25,C30,C35,C40,C45,C50,C55,C60,C65,C70,C75,)</f>
        <v>56</v>
      </c>
      <c r="E79" s="10" t="s">
        <v>76</v>
      </c>
      <c r="F79" s="10"/>
    </row>
    <row r="80" customFormat="false" ht="13.8" hidden="false" customHeight="false" outlineLevel="0" collapsed="false">
      <c r="B80" s="6" t="s">
        <v>143</v>
      </c>
      <c r="C80" s="7" t="n">
        <f aca="false">SUM(C6,C11,C16,C21,C26,C31,C36,C41,C46,C51,C56,C61,C66,C71,C76)</f>
        <v>10</v>
      </c>
      <c r="E80" s="11" t="s">
        <v>79</v>
      </c>
      <c r="F80" s="11"/>
    </row>
    <row r="81" customFormat="false" ht="13.8" hidden="false" customHeight="false" outlineLevel="0" collapsed="false">
      <c r="B81" s="6" t="s">
        <v>144</v>
      </c>
      <c r="C81" s="7" t="n">
        <f aca="false">C79-C80</f>
        <v>46</v>
      </c>
      <c r="E81" s="0" t="s">
        <v>83</v>
      </c>
      <c r="F81" s="0" t="s">
        <v>84</v>
      </c>
    </row>
    <row r="82" customFormat="false" ht="13.8" hidden="false" customHeight="false" outlineLevel="0" collapsed="false">
      <c r="B82" s="6" t="s">
        <v>145</v>
      </c>
      <c r="C82" s="13" t="n">
        <f aca="false">C81/C79*100</f>
        <v>82.1428571428571</v>
      </c>
      <c r="E82" s="0" t="n">
        <v>10</v>
      </c>
      <c r="F82" s="0" t="n">
        <v>5</v>
      </c>
    </row>
  </sheetData>
  <mergeCells count="1">
    <mergeCell ref="E80:F8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25"/>
  <sheetViews>
    <sheetView showFormulas="false" showGridLines="true" showRowColHeaders="true" showZeros="true" rightToLeft="false" tabSelected="false" showOutlineSymbols="true" defaultGridColor="true" view="normal" topLeftCell="A1" colorId="64" zoomScale="81" zoomScaleNormal="81" zoomScalePageLayoutView="100" workbookViewId="0">
      <selection pane="topLeft" activeCell="D6" activeCellId="0" sqref="D6"/>
    </sheetView>
  </sheetViews>
  <sheetFormatPr defaultColWidth="10.58203125" defaultRowHeight="13.8" zeroHeight="false" outlineLevelRow="0" outlineLevelCol="0"/>
  <cols>
    <col collapsed="false" customWidth="true" hidden="false" outlineLevel="0" max="1" min="1" style="0" width="17.67"/>
    <col collapsed="false" customWidth="true" hidden="false" outlineLevel="0" max="2" min="2" style="0" width="80"/>
    <col collapsed="false" customWidth="true" hidden="false" outlineLevel="0" max="3" min="3" style="0" width="79.89"/>
    <col collapsed="false" customWidth="true" hidden="false" outlineLevel="0" max="10" min="4" style="0" width="31.87"/>
    <col collapsed="false" customWidth="true" hidden="false" outlineLevel="0" max="1024" min="1024" style="0" width="9.14"/>
  </cols>
  <sheetData>
    <row r="1" customFormat="false" ht="13.8" hidden="false" customHeight="false" outlineLevel="0" collapsed="false">
      <c r="A1" s="1" t="s">
        <v>146</v>
      </c>
    </row>
    <row r="2" customFormat="false" ht="13.8" hidden="false" customHeight="false" outlineLevel="0" collapsed="false">
      <c r="A2" s="1" t="s">
        <v>1</v>
      </c>
      <c r="B2" s="0" t="s">
        <v>147</v>
      </c>
    </row>
    <row r="4" customFormat="false" ht="13.8" hidden="false" customHeight="false" outlineLevel="0" collapsed="false">
      <c r="E4" s="2" t="s">
        <v>3</v>
      </c>
      <c r="F4" s="2"/>
      <c r="G4" s="2"/>
      <c r="H4" s="2" t="s">
        <v>4</v>
      </c>
      <c r="I4" s="2"/>
      <c r="J4" s="2"/>
    </row>
    <row r="5" customFormat="false" ht="13.8" hidden="false" customHeight="false" outlineLevel="0" collapsed="false">
      <c r="A5" s="3" t="s">
        <v>5</v>
      </c>
      <c r="B5" s="3" t="s">
        <v>6</v>
      </c>
      <c r="C5" s="4" t="s">
        <v>7</v>
      </c>
      <c r="D5" s="4" t="s">
        <v>8</v>
      </c>
      <c r="E5" s="3" t="s">
        <v>9</v>
      </c>
      <c r="F5" s="4" t="s">
        <v>10</v>
      </c>
      <c r="G5" s="4" t="s">
        <v>11</v>
      </c>
      <c r="H5" s="3" t="s">
        <v>9</v>
      </c>
      <c r="I5" s="4" t="s">
        <v>10</v>
      </c>
      <c r="J5" s="4" t="s">
        <v>11</v>
      </c>
    </row>
    <row r="6" customFormat="false" ht="13.8" hidden="false" customHeight="false" outlineLevel="0" collapsed="false">
      <c r="A6" s="5" t="n">
        <v>1</v>
      </c>
      <c r="B6" s="0" t="s">
        <v>148</v>
      </c>
      <c r="C6" s="0" t="s">
        <v>149</v>
      </c>
      <c r="D6" s="0" t="s">
        <v>150</v>
      </c>
      <c r="E6" s="0" t="n">
        <v>0.4893</v>
      </c>
      <c r="F6" s="0" t="n">
        <v>0.8584</v>
      </c>
      <c r="G6" s="0" t="n">
        <v>0.8203</v>
      </c>
      <c r="H6" s="0" t="n">
        <v>0.8548</v>
      </c>
      <c r="I6" s="0" t="n">
        <v>0.9037</v>
      </c>
      <c r="J6" s="0" t="n">
        <v>0.8961</v>
      </c>
    </row>
    <row r="7" customFormat="false" ht="13.8" hidden="false" customHeight="false" outlineLevel="0" collapsed="false">
      <c r="A7" s="5" t="n">
        <v>2</v>
      </c>
      <c r="B7" s="0" t="s">
        <v>151</v>
      </c>
      <c r="C7" s="0" t="s">
        <v>152</v>
      </c>
      <c r="D7" s="0" t="s">
        <v>153</v>
      </c>
      <c r="E7" s="0" t="n">
        <v>0.2685</v>
      </c>
      <c r="F7" s="0" t="n">
        <v>0.7916</v>
      </c>
      <c r="G7" s="0" t="n">
        <v>0.8448</v>
      </c>
      <c r="H7" s="0" t="n">
        <v>0.8413</v>
      </c>
      <c r="I7" s="0" t="n">
        <v>0.9057</v>
      </c>
      <c r="J7" s="0" t="n">
        <v>0.8782</v>
      </c>
    </row>
    <row r="8" customFormat="false" ht="13.8" hidden="false" customHeight="false" outlineLevel="0" collapsed="false">
      <c r="A8" s="5" t="n">
        <v>3</v>
      </c>
      <c r="B8" s="0" t="s">
        <v>154</v>
      </c>
      <c r="C8" s="0" t="s">
        <v>155</v>
      </c>
      <c r="D8" s="0" t="s">
        <v>156</v>
      </c>
      <c r="E8" s="0" t="n">
        <v>0.3185</v>
      </c>
      <c r="F8" s="0" t="n">
        <v>0.7807</v>
      </c>
      <c r="G8" s="0" t="n">
        <v>0.9015</v>
      </c>
      <c r="H8" s="0" t="n">
        <v>0.855</v>
      </c>
      <c r="I8" s="0" t="n">
        <v>0.893</v>
      </c>
      <c r="J8" s="0" t="n">
        <v>0.9095</v>
      </c>
    </row>
    <row r="9" customFormat="false" ht="13.8" hidden="false" customHeight="false" outlineLevel="0" collapsed="false">
      <c r="A9" s="5" t="n">
        <v>4</v>
      </c>
      <c r="B9" s="0" t="s">
        <v>157</v>
      </c>
      <c r="C9" s="0" t="s">
        <v>158</v>
      </c>
      <c r="D9" s="0" t="s">
        <v>159</v>
      </c>
      <c r="E9" s="0" t="n">
        <v>0.4624</v>
      </c>
      <c r="F9" s="0" t="n">
        <v>0.8285</v>
      </c>
      <c r="G9" s="0" t="n">
        <v>0.912</v>
      </c>
      <c r="H9" s="0" t="n">
        <v>0.8397</v>
      </c>
      <c r="I9" s="0" t="n">
        <v>0.8852</v>
      </c>
      <c r="J9" s="0" t="n">
        <v>0.914</v>
      </c>
    </row>
    <row r="10" customFormat="false" ht="13.8" hidden="false" customHeight="false" outlineLevel="0" collapsed="false">
      <c r="A10" s="5" t="n">
        <v>5</v>
      </c>
      <c r="B10" s="0" t="s">
        <v>160</v>
      </c>
      <c r="C10" s="0" t="s">
        <v>161</v>
      </c>
      <c r="D10" s="0" t="s">
        <v>162</v>
      </c>
      <c r="E10" s="0" t="n">
        <v>0.4654</v>
      </c>
      <c r="F10" s="0" t="n">
        <v>0.8001</v>
      </c>
      <c r="G10" s="0" t="n">
        <v>0.8016</v>
      </c>
      <c r="H10" s="0" t="n">
        <v>0.8534</v>
      </c>
      <c r="I10" s="0" t="n">
        <v>0.8851</v>
      </c>
      <c r="J10" s="0" t="n">
        <v>0.8869</v>
      </c>
    </row>
    <row r="11" customFormat="false" ht="13.8" hidden="false" customHeight="false" outlineLevel="0" collapsed="false">
      <c r="A11" s="5" t="n">
        <v>6</v>
      </c>
      <c r="B11" s="0" t="s">
        <v>163</v>
      </c>
      <c r="C11" s="0" t="s">
        <v>164</v>
      </c>
      <c r="D11" s="0" t="s">
        <v>165</v>
      </c>
      <c r="E11" s="0" t="n">
        <v>0.3032</v>
      </c>
      <c r="F11" s="0" t="n">
        <v>0.8262</v>
      </c>
      <c r="G11" s="0" t="n">
        <v>0.8952</v>
      </c>
      <c r="H11" s="0" t="n">
        <v>0.8531</v>
      </c>
      <c r="I11" s="0" t="n">
        <v>0.9018</v>
      </c>
      <c r="J11" s="0" t="n">
        <v>0.8951</v>
      </c>
    </row>
    <row r="12" customFormat="false" ht="13.8" hidden="false" customHeight="false" outlineLevel="0" collapsed="false">
      <c r="A12" s="5" t="n">
        <v>7</v>
      </c>
      <c r="B12" s="0" t="s">
        <v>163</v>
      </c>
      <c r="C12" s="0" t="s">
        <v>166</v>
      </c>
      <c r="D12" s="0" t="s">
        <v>167</v>
      </c>
      <c r="E12" s="0" t="n">
        <v>0.3032</v>
      </c>
      <c r="F12" s="0" t="n">
        <v>0.797</v>
      </c>
      <c r="G12" s="0" t="n">
        <v>0.858</v>
      </c>
      <c r="H12" s="0" t="n">
        <v>0.8531</v>
      </c>
      <c r="I12" s="0" t="n">
        <v>0.8828</v>
      </c>
      <c r="J12" s="0" t="n">
        <v>0.9132</v>
      </c>
    </row>
    <row r="13" customFormat="false" ht="13.8" hidden="false" customHeight="false" outlineLevel="0" collapsed="false">
      <c r="A13" s="5" t="n">
        <v>8</v>
      </c>
      <c r="B13" s="0" t="s">
        <v>168</v>
      </c>
      <c r="C13" s="0" t="s">
        <v>169</v>
      </c>
      <c r="D13" s="0" t="s">
        <v>170</v>
      </c>
      <c r="E13" s="0" t="n">
        <v>0.4155</v>
      </c>
      <c r="F13" s="0" t="n">
        <v>0.7999</v>
      </c>
      <c r="G13" s="0" t="n">
        <v>0.8797</v>
      </c>
      <c r="H13" s="0" t="n">
        <v>0.8374</v>
      </c>
      <c r="I13" s="0" t="n">
        <v>0.8802</v>
      </c>
      <c r="J13" s="0" t="n">
        <v>0.8857</v>
      </c>
    </row>
    <row r="14" customFormat="false" ht="41.75" hidden="false" customHeight="false" outlineLevel="0" collapsed="false">
      <c r="A14" s="5" t="n">
        <v>9</v>
      </c>
      <c r="B14" s="0" t="s">
        <v>171</v>
      </c>
      <c r="C14" s="10" t="s">
        <v>172</v>
      </c>
      <c r="D14" s="0" t="s">
        <v>173</v>
      </c>
      <c r="E14" s="0" t="n">
        <v>0.4842</v>
      </c>
      <c r="F14" s="0" t="n">
        <v>0.8497</v>
      </c>
      <c r="G14" s="0" t="n">
        <v>0.8399</v>
      </c>
      <c r="H14" s="0" t="n">
        <v>0.8506</v>
      </c>
      <c r="I14" s="0" t="n">
        <v>0.9039</v>
      </c>
      <c r="J14" s="0" t="n">
        <v>0.8949</v>
      </c>
    </row>
    <row r="15" customFormat="false" ht="13.8" hidden="false" customHeight="false" outlineLevel="0" collapsed="false">
      <c r="A15" s="5" t="n">
        <v>10</v>
      </c>
      <c r="B15" s="0" t="s">
        <v>174</v>
      </c>
      <c r="C15" s="0" t="s">
        <v>175</v>
      </c>
      <c r="D15" s="0" t="s">
        <v>176</v>
      </c>
      <c r="E15" s="0" t="n">
        <v>0.4562</v>
      </c>
      <c r="F15" s="0" t="n">
        <v>0.8325</v>
      </c>
      <c r="G15" s="0" t="n">
        <v>0.8823</v>
      </c>
      <c r="H15" s="0" t="n">
        <v>0.8532</v>
      </c>
      <c r="I15" s="0" t="n">
        <v>0.882</v>
      </c>
      <c r="J15" s="0" t="n">
        <v>0.906</v>
      </c>
    </row>
    <row r="16" customFormat="false" ht="13.8" hidden="false" customHeight="false" outlineLevel="0" collapsed="false">
      <c r="A16" s="5" t="n">
        <v>11</v>
      </c>
      <c r="B16" s="0" t="s">
        <v>177</v>
      </c>
      <c r="C16" s="0" t="s">
        <v>178</v>
      </c>
      <c r="D16" s="0" t="s">
        <v>179</v>
      </c>
      <c r="E16" s="0" t="n">
        <v>0.6223</v>
      </c>
      <c r="F16" s="0" t="n">
        <v>0.8921</v>
      </c>
      <c r="G16" s="0" t="n">
        <v>0.8648</v>
      </c>
      <c r="H16" s="0" t="n">
        <v>0.8549</v>
      </c>
      <c r="I16" s="0" t="n">
        <v>0.9108</v>
      </c>
      <c r="J16" s="0" t="n">
        <v>0.9002</v>
      </c>
    </row>
    <row r="17" customFormat="false" ht="13.8" hidden="false" customHeight="false" outlineLevel="0" collapsed="false">
      <c r="A17" s="5" t="n">
        <v>12</v>
      </c>
      <c r="B17" s="0" t="s">
        <v>180</v>
      </c>
      <c r="C17" s="0" t="s">
        <v>181</v>
      </c>
      <c r="D17" s="0" t="s">
        <v>182</v>
      </c>
      <c r="E17" s="0" t="n">
        <v>0.3356</v>
      </c>
      <c r="F17" s="0" t="n">
        <v>0.8148</v>
      </c>
      <c r="G17" s="0" t="n">
        <v>0.8684</v>
      </c>
      <c r="H17" s="0" t="n">
        <v>0.8567</v>
      </c>
      <c r="I17" s="0" t="n">
        <v>0.8871</v>
      </c>
      <c r="J17" s="0" t="n">
        <v>0.9033</v>
      </c>
    </row>
    <row r="18" customFormat="false" ht="41.75" hidden="false" customHeight="false" outlineLevel="0" collapsed="false">
      <c r="A18" s="5" t="n">
        <v>13</v>
      </c>
      <c r="B18" s="0" t="s">
        <v>183</v>
      </c>
      <c r="C18" s="10" t="s">
        <v>184</v>
      </c>
      <c r="D18" s="0" t="s">
        <v>185</v>
      </c>
      <c r="E18" s="0" t="n">
        <v>0.4917</v>
      </c>
      <c r="F18" s="0" t="n">
        <v>0.8487</v>
      </c>
      <c r="G18" s="0" t="n">
        <v>0.8827</v>
      </c>
      <c r="H18" s="0" t="n">
        <v>0.8566</v>
      </c>
      <c r="I18" s="0" t="n">
        <v>0.8861</v>
      </c>
      <c r="J18" s="0" t="n">
        <v>0.9322</v>
      </c>
    </row>
    <row r="19" customFormat="false" ht="13.8" hidden="false" customHeight="false" outlineLevel="0" collapsed="false">
      <c r="A19" s="5" t="n">
        <v>14</v>
      </c>
      <c r="B19" s="0" t="s">
        <v>186</v>
      </c>
      <c r="C19" s="0" t="s">
        <v>187</v>
      </c>
      <c r="D19" s="0" t="s">
        <v>188</v>
      </c>
      <c r="E19" s="0" t="n">
        <v>0.2777</v>
      </c>
      <c r="F19" s="0" t="n">
        <v>0.8332</v>
      </c>
      <c r="G19" s="0" t="n">
        <v>0.8945</v>
      </c>
      <c r="H19" s="0" t="n">
        <v>0.8529</v>
      </c>
      <c r="I19" s="0" t="n">
        <v>0.8751</v>
      </c>
      <c r="J19" s="0" t="n">
        <v>0.9138</v>
      </c>
    </row>
    <row r="20" customFormat="false" ht="13.8" hidden="false" customHeight="false" outlineLevel="0" collapsed="false">
      <c r="A20" s="5" t="n">
        <v>15</v>
      </c>
      <c r="B20" s="0" t="s">
        <v>189</v>
      </c>
      <c r="C20" s="0" t="s">
        <v>190</v>
      </c>
      <c r="D20" s="0" t="s">
        <v>191</v>
      </c>
      <c r="E20" s="0" t="n">
        <v>0.5052</v>
      </c>
      <c r="F20" s="0" t="n">
        <v>0.885</v>
      </c>
      <c r="G20" s="0" t="n">
        <v>0.8956</v>
      </c>
      <c r="H20" s="0" t="n">
        <v>0.8515</v>
      </c>
      <c r="I20" s="0" t="n">
        <v>0.908</v>
      </c>
      <c r="J20" s="0" t="n">
        <v>0.8995</v>
      </c>
    </row>
    <row r="22" customFormat="false" ht="13.8" hidden="false" customHeight="false" outlineLevel="0" collapsed="false">
      <c r="C22" s="6" t="s">
        <v>192</v>
      </c>
      <c r="D22" s="6"/>
      <c r="E22" s="7" t="n">
        <f aca="false">AVERAGE(E6:E20)</f>
        <v>0.41326</v>
      </c>
      <c r="F22" s="7" t="n">
        <f aca="false">AVERAGE(F6:F20)</f>
        <v>0.829226666666667</v>
      </c>
      <c r="G22" s="7" t="n">
        <f aca="false">AVERAGE(G6:G20)</f>
        <v>0.86942</v>
      </c>
      <c r="H22" s="7" t="n">
        <f aca="false">AVERAGE(H6:H20)</f>
        <v>0.850946666666667</v>
      </c>
      <c r="I22" s="7" t="n">
        <f aca="false">AVERAGE(I6:I20)</f>
        <v>0.8927</v>
      </c>
      <c r="J22" s="7" t="n">
        <f aca="false">AVERAGE(J6:J20)</f>
        <v>0.901906666666667</v>
      </c>
    </row>
    <row r="23" customFormat="false" ht="13.8" hidden="false" customHeight="false" outlineLevel="0" collapsed="false">
      <c r="C23" s="6" t="s">
        <v>193</v>
      </c>
      <c r="D23" s="6"/>
      <c r="E23" s="7" t="n">
        <f aca="false">_xlfn.STDEV.S(E6:E20)</f>
        <v>0.105108507199533</v>
      </c>
      <c r="F23" s="7" t="n">
        <f aca="false">_xlfn.STDEV.S(F6:F20)</f>
        <v>0.0332469862579768</v>
      </c>
      <c r="G23" s="7" t="n">
        <f aca="false">_xlfn.STDEV.S(G6:G20)</f>
        <v>0.0315230346617472</v>
      </c>
      <c r="H23" s="7" t="n">
        <f aca="false">_xlfn.STDEV.S(H6:H20)</f>
        <v>0.006208504152332</v>
      </c>
      <c r="I23" s="7" t="n">
        <f aca="false">_xlfn.STDEV.S(I6:I20)</f>
        <v>0.0117335903651501</v>
      </c>
      <c r="J23" s="7" t="n">
        <f aca="false">_xlfn.STDEV.S(J6:J20)</f>
        <v>0.0136198105014438</v>
      </c>
    </row>
    <row r="24" customFormat="false" ht="13.8" hidden="false" customHeight="false" outlineLevel="0" collapsed="false">
      <c r="C24" s="6" t="s">
        <v>194</v>
      </c>
      <c r="D24" s="6"/>
      <c r="E24" s="7" t="n">
        <f aca="false">MEDIAN(E6:E20)</f>
        <v>0.4562</v>
      </c>
      <c r="F24" s="7" t="n">
        <f aca="false">MEDIAN(F6:F20)</f>
        <v>0.8285</v>
      </c>
      <c r="G24" s="7" t="n">
        <f aca="false">MEDIAN(G6:G20)</f>
        <v>0.8797</v>
      </c>
      <c r="H24" s="7" t="n">
        <f aca="false">MEDIAN(H6:H20)</f>
        <v>0.8531</v>
      </c>
      <c r="I24" s="7" t="n">
        <f aca="false">MEDIAN(I6:I20)</f>
        <v>0.8871</v>
      </c>
      <c r="J24" s="7" t="n">
        <f aca="false">MEDIAN(J6:J20)</f>
        <v>0.9002</v>
      </c>
    </row>
    <row r="25" customFormat="false" ht="13.8" hidden="false" customHeight="false" outlineLevel="0" collapsed="false">
      <c r="C25" s="6" t="s">
        <v>195</v>
      </c>
      <c r="D25" s="6"/>
      <c r="E25" s="7" t="n">
        <f aca="false">E23/E22</f>
        <v>0.254339900303763</v>
      </c>
      <c r="F25" s="7" t="n">
        <f aca="false">F23/F22</f>
        <v>0.0400939665768629</v>
      </c>
      <c r="G25" s="7" t="n">
        <f aca="false">G23/G22</f>
        <v>0.0362575448710027</v>
      </c>
      <c r="H25" s="7" t="n">
        <f aca="false">H23/H22</f>
        <v>0.00729599679454881</v>
      </c>
      <c r="I25" s="7" t="n">
        <f aca="false">I23/I22</f>
        <v>0.0131439345414474</v>
      </c>
      <c r="J25" s="7" t="n">
        <f aca="false">J23/J22</f>
        <v>0.0151011307542286</v>
      </c>
    </row>
  </sheetData>
  <mergeCells count="2">
    <mergeCell ref="E4:G4"/>
    <mergeCell ref="H4:J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46"/>
  <sheetViews>
    <sheetView showFormulas="false" showGridLines="true" showRowColHeaders="true" showZeros="true" rightToLeft="false" tabSelected="false" showOutlineSymbols="true" defaultGridColor="true" view="normal" topLeftCell="C1" colorId="64" zoomScale="81" zoomScaleNormal="81" zoomScalePageLayoutView="100" workbookViewId="0">
      <selection pane="topLeft" activeCell="L8" activeCellId="0" sqref="L8"/>
    </sheetView>
  </sheetViews>
  <sheetFormatPr defaultColWidth="10.58203125" defaultRowHeight="13.8" zeroHeight="false" outlineLevelRow="0" outlineLevelCol="0"/>
  <cols>
    <col collapsed="false" customWidth="true" hidden="false" outlineLevel="0" max="1" min="1" style="0" width="23.45"/>
    <col collapsed="false" customWidth="true" hidden="false" outlineLevel="0" max="2" min="2" style="0" width="179.8"/>
    <col collapsed="false" customWidth="true" hidden="false" outlineLevel="0" max="6" min="3" style="0" width="13.33"/>
    <col collapsed="false" customWidth="true" hidden="false" outlineLevel="0" max="12" min="9" style="0" width="26.94"/>
    <col collapsed="false" customWidth="true" hidden="false" outlineLevel="0" max="1024" min="1024" style="0" width="9.14"/>
  </cols>
  <sheetData>
    <row r="1" customFormat="false" ht="13.8" hidden="false" customHeight="false" outlineLevel="0" collapsed="false">
      <c r="A1" s="8" t="s">
        <v>57</v>
      </c>
      <c r="B1" s="8" t="s">
        <v>58</v>
      </c>
      <c r="C1" s="8" t="s">
        <v>59</v>
      </c>
      <c r="D1" s="8" t="s">
        <v>60</v>
      </c>
      <c r="E1" s="8" t="s">
        <v>61</v>
      </c>
      <c r="F1" s="8" t="s">
        <v>196</v>
      </c>
    </row>
    <row r="2" customFormat="false" ht="13.8" hidden="false" customHeight="false" outlineLevel="0" collapsed="false">
      <c r="A2" s="1" t="s">
        <v>197</v>
      </c>
    </row>
    <row r="3" customFormat="false" ht="13.8" hidden="false" customHeight="false" outlineLevel="0" collapsed="false">
      <c r="A3" s="9" t="s">
        <v>5</v>
      </c>
      <c r="B3" s="9" t="s">
        <v>63</v>
      </c>
      <c r="C3" s="9" t="s">
        <v>198</v>
      </c>
      <c r="D3" s="9" t="s">
        <v>199</v>
      </c>
      <c r="E3" s="9" t="s">
        <v>200</v>
      </c>
      <c r="F3" s="9" t="s">
        <v>67</v>
      </c>
    </row>
    <row r="4" customFormat="false" ht="13.8" hidden="false" customHeight="false" outlineLevel="0" collapsed="false">
      <c r="A4" s="5" t="s">
        <v>68</v>
      </c>
      <c r="B4" s="0" t="s">
        <v>201</v>
      </c>
      <c r="C4" s="5" t="n">
        <v>4</v>
      </c>
      <c r="D4" s="5" t="n">
        <v>0</v>
      </c>
      <c r="E4" s="5" t="n">
        <v>4</v>
      </c>
      <c r="F4" s="5" t="n">
        <v>4</v>
      </c>
    </row>
    <row r="5" customFormat="false" ht="14.7" hidden="false" customHeight="false" outlineLevel="0" collapsed="false">
      <c r="A5" s="5" t="s">
        <v>70</v>
      </c>
      <c r="B5" s="0" t="s">
        <v>202</v>
      </c>
      <c r="C5" s="5" t="n">
        <v>8</v>
      </c>
      <c r="D5" s="5" t="n">
        <v>4</v>
      </c>
      <c r="E5" s="5" t="n">
        <v>4</v>
      </c>
      <c r="F5" s="5" t="n">
        <v>4</v>
      </c>
      <c r="I5" s="10" t="s">
        <v>76</v>
      </c>
      <c r="J5" s="10"/>
    </row>
    <row r="6" customFormat="false" ht="13.8" hidden="false" customHeight="false" outlineLevel="0" collapsed="false">
      <c r="A6" s="5" t="s">
        <v>72</v>
      </c>
      <c r="B6" s="0" t="s">
        <v>203</v>
      </c>
      <c r="C6" s="5" t="n">
        <v>2</v>
      </c>
      <c r="D6" s="5" t="n">
        <v>0</v>
      </c>
      <c r="E6" s="5" t="n">
        <v>2</v>
      </c>
      <c r="F6" s="5" t="n">
        <v>2</v>
      </c>
      <c r="I6" s="11" t="s">
        <v>79</v>
      </c>
      <c r="J6" s="11"/>
      <c r="K6" s="11" t="s">
        <v>80</v>
      </c>
      <c r="L6" s="11"/>
    </row>
    <row r="7" customFormat="false" ht="13.8" hidden="false" customHeight="false" outlineLevel="0" collapsed="false">
      <c r="A7" s="5" t="s">
        <v>74</v>
      </c>
      <c r="B7" s="0" t="s">
        <v>203</v>
      </c>
      <c r="C7" s="5" t="n">
        <v>2</v>
      </c>
      <c r="D7" s="5" t="n">
        <v>0</v>
      </c>
      <c r="E7" s="5" t="n">
        <v>2</v>
      </c>
      <c r="F7" s="5" t="n">
        <v>2</v>
      </c>
      <c r="I7" s="0" t="s">
        <v>83</v>
      </c>
      <c r="J7" s="0" t="s">
        <v>84</v>
      </c>
      <c r="K7" s="0" t="s">
        <v>83</v>
      </c>
      <c r="L7" s="0" t="s">
        <v>84</v>
      </c>
    </row>
    <row r="8" customFormat="false" ht="13.8" hidden="false" customHeight="false" outlineLevel="0" collapsed="false">
      <c r="A8" s="5" t="s">
        <v>77</v>
      </c>
      <c r="B8" s="0" t="s">
        <v>204</v>
      </c>
      <c r="C8" s="5" t="n">
        <v>4</v>
      </c>
      <c r="D8" s="5" t="n">
        <v>0</v>
      </c>
      <c r="E8" s="5" t="n">
        <v>4</v>
      </c>
      <c r="F8" s="5" t="n">
        <v>4</v>
      </c>
      <c r="I8" s="0" t="n">
        <v>13</v>
      </c>
      <c r="J8" s="0" t="n">
        <v>2</v>
      </c>
      <c r="K8" s="0" t="n">
        <v>14</v>
      </c>
      <c r="L8" s="0" t="n">
        <v>1</v>
      </c>
    </row>
    <row r="9" customFormat="false" ht="13.8" hidden="false" customHeight="false" outlineLevel="0" collapsed="false">
      <c r="A9" s="5" t="s">
        <v>81</v>
      </c>
      <c r="B9" s="0" t="s">
        <v>205</v>
      </c>
      <c r="C9" s="5" t="n">
        <v>2</v>
      </c>
      <c r="D9" s="5" t="n">
        <v>0</v>
      </c>
      <c r="E9" s="5" t="n">
        <v>2</v>
      </c>
      <c r="F9" s="5" t="n">
        <v>2</v>
      </c>
    </row>
    <row r="10" customFormat="false" ht="13.8" hidden="false" customHeight="false" outlineLevel="0" collapsed="false">
      <c r="A10" s="5" t="s">
        <v>85</v>
      </c>
      <c r="B10" s="0" t="s">
        <v>203</v>
      </c>
      <c r="C10" s="5" t="n">
        <v>2</v>
      </c>
      <c r="D10" s="5" t="n">
        <v>0</v>
      </c>
      <c r="E10" s="5" t="n">
        <v>2</v>
      </c>
      <c r="F10" s="5" t="n">
        <v>2</v>
      </c>
    </row>
    <row r="11" customFormat="false" ht="13.8" hidden="false" customHeight="false" outlineLevel="0" collapsed="false">
      <c r="A11" s="5" t="s">
        <v>87</v>
      </c>
      <c r="B11" s="0" t="s">
        <v>206</v>
      </c>
      <c r="C11" s="5" t="n">
        <v>4</v>
      </c>
      <c r="D11" s="5" t="n">
        <v>0</v>
      </c>
      <c r="E11" s="5" t="n">
        <v>4</v>
      </c>
      <c r="F11" s="5" t="n">
        <v>4</v>
      </c>
    </row>
    <row r="12" customFormat="false" ht="13.8" hidden="false" customHeight="false" outlineLevel="0" collapsed="false">
      <c r="A12" s="5" t="s">
        <v>88</v>
      </c>
      <c r="B12" s="0" t="s">
        <v>203</v>
      </c>
      <c r="C12" s="5" t="n">
        <v>2</v>
      </c>
      <c r="D12" s="5" t="n">
        <v>0</v>
      </c>
      <c r="E12" s="5" t="n">
        <v>2</v>
      </c>
      <c r="F12" s="5" t="n">
        <v>2</v>
      </c>
    </row>
    <row r="13" customFormat="false" ht="13.8" hidden="false" customHeight="false" outlineLevel="0" collapsed="false">
      <c r="A13" s="5" t="s">
        <v>89</v>
      </c>
      <c r="B13" s="0" t="s">
        <v>207</v>
      </c>
      <c r="C13" s="5" t="n">
        <v>2</v>
      </c>
      <c r="D13" s="5" t="n">
        <v>0</v>
      </c>
      <c r="E13" s="5" t="n">
        <v>2</v>
      </c>
      <c r="F13" s="5" t="n">
        <v>2</v>
      </c>
    </row>
    <row r="14" customFormat="false" ht="13.8" hidden="false" customHeight="false" outlineLevel="0" collapsed="false">
      <c r="A14" s="5" t="s">
        <v>91</v>
      </c>
      <c r="B14" s="0" t="s">
        <v>208</v>
      </c>
      <c r="C14" s="5" t="n">
        <v>2</v>
      </c>
      <c r="D14" s="5" t="n">
        <v>0</v>
      </c>
      <c r="E14" s="5" t="n">
        <v>2</v>
      </c>
      <c r="F14" s="5" t="n">
        <v>2</v>
      </c>
    </row>
    <row r="15" customFormat="false" ht="13.8" hidden="false" customHeight="false" outlineLevel="0" collapsed="false">
      <c r="A15" s="5" t="s">
        <v>93</v>
      </c>
      <c r="B15" s="0" t="s">
        <v>209</v>
      </c>
      <c r="C15" s="5" t="n">
        <v>6</v>
      </c>
      <c r="D15" s="5" t="n">
        <v>2</v>
      </c>
      <c r="E15" s="5" t="n">
        <v>4</v>
      </c>
      <c r="F15" s="5" t="n">
        <v>4</v>
      </c>
    </row>
    <row r="16" customFormat="false" ht="13.8" hidden="false" customHeight="false" outlineLevel="0" collapsed="false">
      <c r="A16" s="5" t="s">
        <v>95</v>
      </c>
      <c r="B16" s="0" t="s">
        <v>210</v>
      </c>
      <c r="C16" s="5" t="n">
        <v>4</v>
      </c>
      <c r="D16" s="5" t="n">
        <v>0</v>
      </c>
      <c r="E16" s="5" t="n">
        <v>4</v>
      </c>
      <c r="F16" s="5" t="n">
        <v>4</v>
      </c>
    </row>
    <row r="17" customFormat="false" ht="13.8" hidden="false" customHeight="false" outlineLevel="0" collapsed="false">
      <c r="A17" s="5" t="s">
        <v>97</v>
      </c>
      <c r="B17" s="0" t="s">
        <v>205</v>
      </c>
      <c r="C17" s="5" t="n">
        <v>2</v>
      </c>
      <c r="D17" s="5" t="n">
        <v>0</v>
      </c>
      <c r="E17" s="5" t="n">
        <v>2</v>
      </c>
      <c r="F17" s="5" t="n">
        <v>2</v>
      </c>
    </row>
    <row r="18" customFormat="false" ht="13.8" hidden="false" customHeight="false" outlineLevel="0" collapsed="false">
      <c r="A18" s="5" t="s">
        <v>99</v>
      </c>
      <c r="B18" s="0" t="s">
        <v>203</v>
      </c>
      <c r="C18" s="5" t="n">
        <v>2</v>
      </c>
      <c r="D18" s="5" t="n">
        <v>0</v>
      </c>
      <c r="E18" s="5" t="n">
        <v>2</v>
      </c>
      <c r="F18" s="5" t="n">
        <v>2</v>
      </c>
    </row>
    <row r="20" customFormat="false" ht="13.8" hidden="false" customHeight="false" outlineLevel="0" collapsed="false">
      <c r="B20" s="6" t="s">
        <v>101</v>
      </c>
      <c r="C20" s="12" t="n">
        <f aca="false">SUM(C4:C18)</f>
        <v>48</v>
      </c>
      <c r="D20" s="12" t="n">
        <f aca="false">SUM(D4:D18)</f>
        <v>6</v>
      </c>
      <c r="E20" s="12" t="n">
        <f aca="false">SUM(E4:E18)</f>
        <v>42</v>
      </c>
      <c r="F20" s="12" t="n">
        <f aca="false">SUM(F4:F18)</f>
        <v>42</v>
      </c>
    </row>
    <row r="21" customFormat="false" ht="13.8" hidden="false" customHeight="false" outlineLevel="0" collapsed="false">
      <c r="B21" s="6" t="s">
        <v>102</v>
      </c>
      <c r="C21" s="13"/>
      <c r="D21" s="13" t="n">
        <f aca="false">D20/C20*100</f>
        <v>12.5</v>
      </c>
      <c r="E21" s="13" t="n">
        <f aca="false">E20/C20*100</f>
        <v>87.5</v>
      </c>
      <c r="F21" s="13"/>
    </row>
    <row r="28" customFormat="false" ht="13.8" hidden="false" customHeight="false" outlineLevel="0" collapsed="false">
      <c r="A28" s="9" t="s">
        <v>5</v>
      </c>
      <c r="B28" s="9" t="s">
        <v>103</v>
      </c>
      <c r="C28" s="9" t="s">
        <v>198</v>
      </c>
      <c r="D28" s="9" t="s">
        <v>199</v>
      </c>
      <c r="E28" s="9" t="s">
        <v>200</v>
      </c>
      <c r="F28" s="9" t="s">
        <v>67</v>
      </c>
    </row>
    <row r="29" customFormat="false" ht="13.8" hidden="false" customHeight="false" outlineLevel="0" collapsed="false">
      <c r="A29" s="5" t="s">
        <v>68</v>
      </c>
      <c r="B29" s="0" t="s">
        <v>211</v>
      </c>
      <c r="C29" s="5" t="n">
        <v>4</v>
      </c>
      <c r="D29" s="5" t="n">
        <v>0</v>
      </c>
      <c r="E29" s="5" t="n">
        <v>4</v>
      </c>
      <c r="F29" s="5" t="n">
        <v>4</v>
      </c>
    </row>
    <row r="30" customFormat="false" ht="13.8" hidden="false" customHeight="false" outlineLevel="0" collapsed="false">
      <c r="A30" s="5" t="s">
        <v>70</v>
      </c>
      <c r="B30" s="0" t="s">
        <v>212</v>
      </c>
      <c r="C30" s="5" t="n">
        <v>2</v>
      </c>
      <c r="D30" s="5" t="n">
        <v>0</v>
      </c>
      <c r="E30" s="5" t="n">
        <v>2</v>
      </c>
      <c r="F30" s="5" t="n">
        <v>2</v>
      </c>
    </row>
    <row r="31" customFormat="false" ht="13.8" hidden="false" customHeight="false" outlineLevel="0" collapsed="false">
      <c r="A31" s="5" t="s">
        <v>72</v>
      </c>
      <c r="B31" s="0" t="s">
        <v>213</v>
      </c>
      <c r="C31" s="5" t="n">
        <v>2</v>
      </c>
      <c r="D31" s="5" t="n">
        <v>0</v>
      </c>
      <c r="E31" s="5" t="n">
        <v>2</v>
      </c>
      <c r="F31" s="5" t="n">
        <v>2</v>
      </c>
    </row>
    <row r="32" customFormat="false" ht="13.8" hidden="false" customHeight="false" outlineLevel="0" collapsed="false">
      <c r="A32" s="5" t="s">
        <v>74</v>
      </c>
      <c r="B32" s="0" t="s">
        <v>214</v>
      </c>
      <c r="C32" s="5" t="n">
        <v>2</v>
      </c>
      <c r="D32" s="5" t="n">
        <v>0</v>
      </c>
      <c r="E32" s="5" t="n">
        <v>2</v>
      </c>
      <c r="F32" s="5" t="n">
        <v>2</v>
      </c>
    </row>
    <row r="33" customFormat="false" ht="13.8" hidden="false" customHeight="false" outlineLevel="0" collapsed="false">
      <c r="A33" s="5" t="s">
        <v>77</v>
      </c>
      <c r="B33" s="0" t="s">
        <v>203</v>
      </c>
      <c r="C33" s="5" t="n">
        <v>2</v>
      </c>
      <c r="D33" s="5" t="n">
        <v>0</v>
      </c>
      <c r="E33" s="5" t="n">
        <v>2</v>
      </c>
      <c r="F33" s="5" t="n">
        <v>2</v>
      </c>
    </row>
    <row r="34" customFormat="false" ht="13.8" hidden="false" customHeight="false" outlineLevel="0" collapsed="false">
      <c r="A34" s="5" t="s">
        <v>81</v>
      </c>
      <c r="B34" s="0" t="s">
        <v>215</v>
      </c>
      <c r="C34" s="5" t="n">
        <v>4</v>
      </c>
      <c r="D34" s="5" t="n">
        <v>0</v>
      </c>
      <c r="E34" s="5" t="n">
        <v>4</v>
      </c>
      <c r="F34" s="5" t="n">
        <v>4</v>
      </c>
    </row>
    <row r="35" customFormat="false" ht="13.8" hidden="false" customHeight="false" outlineLevel="0" collapsed="false">
      <c r="A35" s="5" t="s">
        <v>85</v>
      </c>
      <c r="B35" s="0" t="s">
        <v>216</v>
      </c>
      <c r="C35" s="5" t="n">
        <v>4</v>
      </c>
      <c r="D35" s="5" t="n">
        <v>2</v>
      </c>
      <c r="E35" s="5" t="n">
        <v>2</v>
      </c>
      <c r="F35" s="5" t="n">
        <v>4</v>
      </c>
    </row>
    <row r="36" customFormat="false" ht="13.8" hidden="false" customHeight="false" outlineLevel="0" collapsed="false">
      <c r="A36" s="5" t="s">
        <v>87</v>
      </c>
      <c r="B36" s="0" t="s">
        <v>207</v>
      </c>
      <c r="C36" s="5" t="n">
        <v>2</v>
      </c>
      <c r="D36" s="5" t="n">
        <v>0</v>
      </c>
      <c r="E36" s="5" t="n">
        <v>2</v>
      </c>
      <c r="F36" s="5" t="n">
        <v>2</v>
      </c>
    </row>
    <row r="37" customFormat="false" ht="13.8" hidden="false" customHeight="false" outlineLevel="0" collapsed="false">
      <c r="A37" s="5" t="s">
        <v>88</v>
      </c>
      <c r="B37" s="0" t="s">
        <v>217</v>
      </c>
      <c r="C37" s="5" t="n">
        <v>3</v>
      </c>
      <c r="D37" s="5" t="n">
        <v>0</v>
      </c>
      <c r="E37" s="5" t="n">
        <v>3</v>
      </c>
      <c r="F37" s="5" t="n">
        <v>3</v>
      </c>
    </row>
    <row r="38" customFormat="false" ht="13.8" hidden="false" customHeight="false" outlineLevel="0" collapsed="false">
      <c r="A38" s="5" t="s">
        <v>89</v>
      </c>
      <c r="B38" s="0" t="s">
        <v>214</v>
      </c>
      <c r="C38" s="5" t="n">
        <v>2</v>
      </c>
      <c r="D38" s="5" t="n">
        <v>0</v>
      </c>
      <c r="E38" s="5" t="n">
        <v>2</v>
      </c>
      <c r="F38" s="5" t="n">
        <v>2</v>
      </c>
    </row>
    <row r="39" customFormat="false" ht="13.8" hidden="false" customHeight="false" outlineLevel="0" collapsed="false">
      <c r="A39" s="5" t="s">
        <v>91</v>
      </c>
      <c r="B39" s="0" t="s">
        <v>218</v>
      </c>
      <c r="C39" s="5" t="n">
        <v>2</v>
      </c>
      <c r="D39" s="5" t="n">
        <v>0</v>
      </c>
      <c r="E39" s="5" t="n">
        <v>2</v>
      </c>
      <c r="F39" s="5" t="n">
        <v>2</v>
      </c>
    </row>
    <row r="40" customFormat="false" ht="13.8" hidden="false" customHeight="false" outlineLevel="0" collapsed="false">
      <c r="A40" s="5" t="s">
        <v>93</v>
      </c>
      <c r="B40" s="0" t="s">
        <v>219</v>
      </c>
      <c r="C40" s="5" t="n">
        <v>2</v>
      </c>
      <c r="D40" s="5" t="n">
        <v>0</v>
      </c>
      <c r="E40" s="5" t="n">
        <v>2</v>
      </c>
      <c r="F40" s="5" t="n">
        <v>2</v>
      </c>
    </row>
    <row r="41" customFormat="false" ht="13.8" hidden="false" customHeight="false" outlineLevel="0" collapsed="false">
      <c r="A41" s="5" t="s">
        <v>95</v>
      </c>
      <c r="B41" s="0" t="s">
        <v>220</v>
      </c>
      <c r="C41" s="5" t="n">
        <v>4</v>
      </c>
      <c r="D41" s="5" t="n">
        <v>0</v>
      </c>
      <c r="E41" s="5" t="n">
        <v>4</v>
      </c>
      <c r="F41" s="5" t="n">
        <v>4</v>
      </c>
    </row>
    <row r="42" customFormat="false" ht="13.8" hidden="false" customHeight="false" outlineLevel="0" collapsed="false">
      <c r="A42" s="5" t="s">
        <v>97</v>
      </c>
      <c r="B42" s="0" t="s">
        <v>221</v>
      </c>
      <c r="C42" s="5" t="n">
        <v>4</v>
      </c>
      <c r="D42" s="5" t="n">
        <v>0</v>
      </c>
      <c r="E42" s="5" t="n">
        <v>4</v>
      </c>
      <c r="F42" s="5" t="n">
        <v>4</v>
      </c>
    </row>
    <row r="43" customFormat="false" ht="13.8" hidden="false" customHeight="false" outlineLevel="0" collapsed="false">
      <c r="A43" s="5" t="s">
        <v>99</v>
      </c>
      <c r="B43" s="0" t="s">
        <v>222</v>
      </c>
      <c r="C43" s="5" t="n">
        <v>2</v>
      </c>
      <c r="D43" s="5" t="n">
        <v>0</v>
      </c>
      <c r="E43" s="5" t="n">
        <v>2</v>
      </c>
      <c r="F43" s="5" t="n">
        <v>2</v>
      </c>
    </row>
    <row r="45" customFormat="false" ht="13.8" hidden="false" customHeight="false" outlineLevel="0" collapsed="false">
      <c r="B45" s="6" t="s">
        <v>101</v>
      </c>
      <c r="C45" s="12" t="n">
        <f aca="false">SUM(C29:C43)</f>
        <v>41</v>
      </c>
      <c r="D45" s="12" t="n">
        <f aca="false">SUM(D29:D43)</f>
        <v>2</v>
      </c>
      <c r="E45" s="12" t="n">
        <f aca="false">SUM(E29:E43)</f>
        <v>39</v>
      </c>
      <c r="F45" s="12" t="n">
        <f aca="false">SUM(F29:F43)</f>
        <v>41</v>
      </c>
    </row>
    <row r="46" customFormat="false" ht="13.8" hidden="false" customHeight="false" outlineLevel="0" collapsed="false">
      <c r="B46" s="6" t="s">
        <v>102</v>
      </c>
      <c r="C46" s="13"/>
      <c r="D46" s="13" t="n">
        <f aca="false">D45/C45*100</f>
        <v>4.87804878048781</v>
      </c>
      <c r="E46" s="13" t="n">
        <f aca="false">E45/C45*100</f>
        <v>95.1219512195122</v>
      </c>
      <c r="F46" s="13" t="n">
        <f aca="false">F45/D45*100</f>
        <v>2050</v>
      </c>
    </row>
  </sheetData>
  <mergeCells count="2">
    <mergeCell ref="I6:J6"/>
    <mergeCell ref="K6:L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82"/>
  <sheetViews>
    <sheetView showFormulas="false" showGridLines="true" showRowColHeaders="true" showZeros="true" rightToLeft="false" tabSelected="false" showOutlineSymbols="true" defaultGridColor="true" view="normal" topLeftCell="A16" colorId="64" zoomScale="81" zoomScaleNormal="81" zoomScalePageLayoutView="100" workbookViewId="0">
      <selection pane="topLeft" activeCell="G82" activeCellId="0" sqref="G82"/>
    </sheetView>
  </sheetViews>
  <sheetFormatPr defaultColWidth="10.58203125" defaultRowHeight="13.8" zeroHeight="false" outlineLevelRow="0" outlineLevelCol="0"/>
  <cols>
    <col collapsed="false" customWidth="true" hidden="false" outlineLevel="0" max="1" min="1" style="0" width="41.22"/>
    <col collapsed="false" customWidth="true" hidden="false" outlineLevel="0" max="2" min="2" style="0" width="37.88"/>
    <col collapsed="false" customWidth="true" hidden="false" outlineLevel="0" max="3" min="3" style="0" width="80.89"/>
    <col collapsed="false" customWidth="true" hidden="false" outlineLevel="0" max="4" min="4" style="0" width="40.44"/>
    <col collapsed="false" customWidth="true" hidden="false" outlineLevel="0" max="7" min="6" style="0" width="27.09"/>
  </cols>
  <sheetData>
    <row r="1" customFormat="false" ht="13.8" hidden="false" customHeight="false" outlineLevel="0" collapsed="false">
      <c r="A1" s="8" t="s">
        <v>57</v>
      </c>
      <c r="B1" s="8" t="s">
        <v>119</v>
      </c>
      <c r="C1" s="8" t="s">
        <v>120</v>
      </c>
      <c r="D1" s="8" t="s">
        <v>58</v>
      </c>
    </row>
    <row r="2" customFormat="false" ht="13.8" hidden="false" customHeight="false" outlineLevel="0" collapsed="false">
      <c r="A2" s="1" t="s">
        <v>223</v>
      </c>
    </row>
    <row r="3" customFormat="false" ht="13.8" hidden="false" customHeight="false" outlineLevel="0" collapsed="false">
      <c r="A3" s="9" t="s">
        <v>5</v>
      </c>
      <c r="B3" s="9" t="s">
        <v>122</v>
      </c>
      <c r="C3" s="9" t="s">
        <v>123</v>
      </c>
    </row>
    <row r="4" customFormat="false" ht="13.8" hidden="false" customHeight="false" outlineLevel="0" collapsed="false">
      <c r="A4" s="0" t="s">
        <v>68</v>
      </c>
      <c r="B4" s="1" t="s">
        <v>124</v>
      </c>
      <c r="C4" s="0" t="s">
        <v>224</v>
      </c>
    </row>
    <row r="5" customFormat="false" ht="13.8" hidden="false" customHeight="false" outlineLevel="0" collapsed="false">
      <c r="A5" s="0" t="s">
        <v>68</v>
      </c>
      <c r="B5" s="1" t="s">
        <v>126</v>
      </c>
      <c r="C5" s="0" t="n">
        <v>4</v>
      </c>
    </row>
    <row r="6" customFormat="false" ht="13.8" hidden="false" customHeight="false" outlineLevel="0" collapsed="false">
      <c r="A6" s="0" t="s">
        <v>68</v>
      </c>
      <c r="B6" s="1" t="s">
        <v>127</v>
      </c>
      <c r="C6" s="0" t="n">
        <v>0</v>
      </c>
    </row>
    <row r="7" customFormat="false" ht="13.8" hidden="false" customHeight="false" outlineLevel="0" collapsed="false">
      <c r="A7" s="0" t="s">
        <v>68</v>
      </c>
      <c r="B7" s="1" t="s">
        <v>128</v>
      </c>
      <c r="C7" s="0" t="n">
        <v>4</v>
      </c>
    </row>
    <row r="8" customFormat="false" ht="13.8" hidden="false" customHeight="false" outlineLevel="0" collapsed="false">
      <c r="B8" s="1"/>
    </row>
    <row r="9" customFormat="false" ht="13.8" hidden="false" customHeight="false" outlineLevel="0" collapsed="false">
      <c r="A9" s="0" t="s">
        <v>70</v>
      </c>
      <c r="B9" s="1" t="s">
        <v>124</v>
      </c>
      <c r="C9" s="0" t="s">
        <v>225</v>
      </c>
    </row>
    <row r="10" customFormat="false" ht="13.8" hidden="false" customHeight="false" outlineLevel="0" collapsed="false">
      <c r="A10" s="0" t="s">
        <v>70</v>
      </c>
      <c r="B10" s="1" t="s">
        <v>126</v>
      </c>
      <c r="C10" s="0" t="n">
        <v>4</v>
      </c>
    </row>
    <row r="11" customFormat="false" ht="13.8" hidden="false" customHeight="false" outlineLevel="0" collapsed="false">
      <c r="A11" s="0" t="s">
        <v>70</v>
      </c>
      <c r="B11" s="1" t="s">
        <v>127</v>
      </c>
      <c r="C11" s="0" t="n">
        <v>0</v>
      </c>
    </row>
    <row r="12" customFormat="false" ht="13.8" hidden="false" customHeight="false" outlineLevel="0" collapsed="false">
      <c r="A12" s="0" t="s">
        <v>70</v>
      </c>
      <c r="B12" s="1" t="s">
        <v>128</v>
      </c>
      <c r="C12" s="0" t="n">
        <v>4</v>
      </c>
    </row>
    <row r="13" customFormat="false" ht="13.8" hidden="false" customHeight="false" outlineLevel="0" collapsed="false">
      <c r="B13" s="1"/>
    </row>
    <row r="14" customFormat="false" ht="13.8" hidden="false" customHeight="false" outlineLevel="0" collapsed="false">
      <c r="A14" s="0" t="s">
        <v>72</v>
      </c>
      <c r="B14" s="1" t="s">
        <v>124</v>
      </c>
      <c r="C14" s="0" t="s">
        <v>226</v>
      </c>
    </row>
    <row r="15" customFormat="false" ht="13.8" hidden="false" customHeight="false" outlineLevel="0" collapsed="false">
      <c r="A15" s="0" t="s">
        <v>72</v>
      </c>
      <c r="B15" s="1" t="s">
        <v>126</v>
      </c>
      <c r="C15" s="0" t="n">
        <v>2</v>
      </c>
    </row>
    <row r="16" customFormat="false" ht="13.8" hidden="false" customHeight="false" outlineLevel="0" collapsed="false">
      <c r="A16" s="0" t="s">
        <v>72</v>
      </c>
      <c r="B16" s="1" t="s">
        <v>127</v>
      </c>
      <c r="C16" s="0" t="n">
        <v>0</v>
      </c>
    </row>
    <row r="17" customFormat="false" ht="13.8" hidden="false" customHeight="false" outlineLevel="0" collapsed="false">
      <c r="A17" s="0" t="s">
        <v>72</v>
      </c>
      <c r="B17" s="1" t="s">
        <v>128</v>
      </c>
      <c r="C17" s="0" t="n">
        <v>2</v>
      </c>
    </row>
    <row r="18" customFormat="false" ht="13.8" hidden="false" customHeight="false" outlineLevel="0" collapsed="false">
      <c r="B18" s="1"/>
    </row>
    <row r="19" customFormat="false" ht="13.8" hidden="false" customHeight="false" outlineLevel="0" collapsed="false">
      <c r="A19" s="0" t="s">
        <v>74</v>
      </c>
      <c r="B19" s="1" t="s">
        <v>124</v>
      </c>
      <c r="C19" s="0" t="s">
        <v>226</v>
      </c>
    </row>
    <row r="20" customFormat="false" ht="13.8" hidden="false" customHeight="false" outlineLevel="0" collapsed="false">
      <c r="A20" s="0" t="s">
        <v>74</v>
      </c>
      <c r="B20" s="1" t="s">
        <v>126</v>
      </c>
      <c r="C20" s="0" t="n">
        <v>2</v>
      </c>
    </row>
    <row r="21" customFormat="false" ht="13.8" hidden="false" customHeight="false" outlineLevel="0" collapsed="false">
      <c r="A21" s="0" t="s">
        <v>74</v>
      </c>
      <c r="B21" s="1" t="s">
        <v>127</v>
      </c>
      <c r="C21" s="0" t="n">
        <v>0</v>
      </c>
    </row>
    <row r="22" customFormat="false" ht="13.8" hidden="false" customHeight="false" outlineLevel="0" collapsed="false">
      <c r="A22" s="0" t="s">
        <v>74</v>
      </c>
      <c r="B22" s="1" t="s">
        <v>128</v>
      </c>
      <c r="C22" s="0" t="n">
        <v>2</v>
      </c>
    </row>
    <row r="23" customFormat="false" ht="13.8" hidden="false" customHeight="false" outlineLevel="0" collapsed="false">
      <c r="B23" s="1"/>
    </row>
    <row r="24" customFormat="false" ht="13.8" hidden="false" customHeight="false" outlineLevel="0" collapsed="false">
      <c r="A24" s="0" t="s">
        <v>77</v>
      </c>
      <c r="B24" s="1" t="s">
        <v>124</v>
      </c>
      <c r="C24" s="0" t="s">
        <v>227</v>
      </c>
    </row>
    <row r="25" customFormat="false" ht="13.8" hidden="false" customHeight="false" outlineLevel="0" collapsed="false">
      <c r="A25" s="0" t="s">
        <v>77</v>
      </c>
      <c r="B25" s="1" t="s">
        <v>126</v>
      </c>
      <c r="C25" s="0" t="n">
        <v>4</v>
      </c>
    </row>
    <row r="26" customFormat="false" ht="13.8" hidden="false" customHeight="false" outlineLevel="0" collapsed="false">
      <c r="A26" s="0" t="s">
        <v>77</v>
      </c>
      <c r="B26" s="1" t="s">
        <v>127</v>
      </c>
      <c r="C26" s="0" t="n">
        <v>0</v>
      </c>
    </row>
    <row r="27" customFormat="false" ht="13.8" hidden="false" customHeight="false" outlineLevel="0" collapsed="false">
      <c r="A27" s="0" t="s">
        <v>77</v>
      </c>
      <c r="B27" s="1" t="s">
        <v>128</v>
      </c>
      <c r="C27" s="0" t="n">
        <v>4</v>
      </c>
    </row>
    <row r="28" customFormat="false" ht="13.8" hidden="false" customHeight="false" outlineLevel="0" collapsed="false">
      <c r="B28" s="1"/>
    </row>
    <row r="29" customFormat="false" ht="13.8" hidden="false" customHeight="false" outlineLevel="0" collapsed="false">
      <c r="A29" s="0" t="s">
        <v>81</v>
      </c>
      <c r="B29" s="1" t="s">
        <v>124</v>
      </c>
      <c r="C29" s="0" t="s">
        <v>226</v>
      </c>
    </row>
    <row r="30" customFormat="false" ht="13.8" hidden="false" customHeight="false" outlineLevel="0" collapsed="false">
      <c r="A30" s="0" t="s">
        <v>81</v>
      </c>
      <c r="B30" s="1" t="s">
        <v>126</v>
      </c>
      <c r="C30" s="0" t="n">
        <v>2</v>
      </c>
    </row>
    <row r="31" customFormat="false" ht="13.8" hidden="false" customHeight="false" outlineLevel="0" collapsed="false">
      <c r="A31" s="0" t="s">
        <v>81</v>
      </c>
      <c r="B31" s="1" t="s">
        <v>127</v>
      </c>
      <c r="C31" s="0" t="n">
        <v>0</v>
      </c>
    </row>
    <row r="32" customFormat="false" ht="13.8" hidden="false" customHeight="false" outlineLevel="0" collapsed="false">
      <c r="A32" s="0" t="s">
        <v>81</v>
      </c>
      <c r="B32" s="1" t="s">
        <v>128</v>
      </c>
      <c r="C32" s="0" t="n">
        <v>2</v>
      </c>
    </row>
    <row r="33" customFormat="false" ht="13.8" hidden="false" customHeight="false" outlineLevel="0" collapsed="false">
      <c r="B33" s="1"/>
    </row>
    <row r="34" customFormat="false" ht="13.8" hidden="false" customHeight="false" outlineLevel="0" collapsed="false">
      <c r="A34" s="0" t="s">
        <v>85</v>
      </c>
      <c r="B34" s="1" t="s">
        <v>124</v>
      </c>
      <c r="C34" s="0" t="s">
        <v>226</v>
      </c>
    </row>
    <row r="35" customFormat="false" ht="13.8" hidden="false" customHeight="false" outlineLevel="0" collapsed="false">
      <c r="A35" s="0" t="s">
        <v>85</v>
      </c>
      <c r="B35" s="1" t="s">
        <v>126</v>
      </c>
      <c r="C35" s="0" t="n">
        <v>2</v>
      </c>
    </row>
    <row r="36" customFormat="false" ht="13.8" hidden="false" customHeight="false" outlineLevel="0" collapsed="false">
      <c r="A36" s="0" t="s">
        <v>85</v>
      </c>
      <c r="B36" s="1" t="s">
        <v>127</v>
      </c>
      <c r="C36" s="0" t="n">
        <v>0</v>
      </c>
    </row>
    <row r="37" customFormat="false" ht="13.8" hidden="false" customHeight="false" outlineLevel="0" collapsed="false">
      <c r="A37" s="0" t="s">
        <v>85</v>
      </c>
      <c r="B37" s="1" t="s">
        <v>128</v>
      </c>
      <c r="C37" s="0" t="n">
        <v>2</v>
      </c>
    </row>
    <row r="38" customFormat="false" ht="13.8" hidden="false" customHeight="false" outlineLevel="0" collapsed="false">
      <c r="B38" s="1"/>
    </row>
    <row r="39" customFormat="false" ht="13.8" hidden="false" customHeight="false" outlineLevel="0" collapsed="false">
      <c r="A39" s="0" t="s">
        <v>87</v>
      </c>
      <c r="B39" s="1" t="s">
        <v>124</v>
      </c>
      <c r="C39" s="0" t="s">
        <v>228</v>
      </c>
    </row>
    <row r="40" customFormat="false" ht="13.8" hidden="false" customHeight="false" outlineLevel="0" collapsed="false">
      <c r="A40" s="0" t="s">
        <v>87</v>
      </c>
      <c r="B40" s="1" t="s">
        <v>126</v>
      </c>
      <c r="C40" s="0" t="n">
        <v>4</v>
      </c>
    </row>
    <row r="41" customFormat="false" ht="13.8" hidden="false" customHeight="false" outlineLevel="0" collapsed="false">
      <c r="A41" s="0" t="s">
        <v>87</v>
      </c>
      <c r="B41" s="1" t="s">
        <v>127</v>
      </c>
      <c r="C41" s="0" t="n">
        <v>0</v>
      </c>
    </row>
    <row r="42" customFormat="false" ht="13.8" hidden="false" customHeight="false" outlineLevel="0" collapsed="false">
      <c r="A42" s="0" t="s">
        <v>87</v>
      </c>
      <c r="B42" s="1" t="s">
        <v>128</v>
      </c>
      <c r="C42" s="0" t="n">
        <v>4</v>
      </c>
    </row>
    <row r="43" customFormat="false" ht="13.8" hidden="false" customHeight="false" outlineLevel="0" collapsed="false">
      <c r="B43" s="1"/>
    </row>
    <row r="44" customFormat="false" ht="13.8" hidden="false" customHeight="false" outlineLevel="0" collapsed="false">
      <c r="A44" s="0" t="s">
        <v>88</v>
      </c>
      <c r="B44" s="1" t="s">
        <v>124</v>
      </c>
      <c r="C44" s="0" t="s">
        <v>226</v>
      </c>
    </row>
    <row r="45" customFormat="false" ht="13.8" hidden="false" customHeight="false" outlineLevel="0" collapsed="false">
      <c r="A45" s="0" t="s">
        <v>88</v>
      </c>
      <c r="B45" s="1" t="s">
        <v>126</v>
      </c>
      <c r="C45" s="0" t="n">
        <v>2</v>
      </c>
    </row>
    <row r="46" customFormat="false" ht="13.8" hidden="false" customHeight="false" outlineLevel="0" collapsed="false">
      <c r="A46" s="0" t="s">
        <v>88</v>
      </c>
      <c r="B46" s="1" t="s">
        <v>127</v>
      </c>
      <c r="C46" s="0" t="n">
        <v>0</v>
      </c>
    </row>
    <row r="47" customFormat="false" ht="13.8" hidden="false" customHeight="false" outlineLevel="0" collapsed="false">
      <c r="A47" s="0" t="s">
        <v>88</v>
      </c>
      <c r="B47" s="1" t="s">
        <v>128</v>
      </c>
      <c r="C47" s="0" t="n">
        <v>2</v>
      </c>
    </row>
    <row r="48" customFormat="false" ht="13.8" hidden="false" customHeight="false" outlineLevel="0" collapsed="false">
      <c r="B48" s="1"/>
    </row>
    <row r="49" customFormat="false" ht="13.8" hidden="false" customHeight="false" outlineLevel="0" collapsed="false">
      <c r="A49" s="0" t="s">
        <v>89</v>
      </c>
      <c r="B49" s="1" t="s">
        <v>124</v>
      </c>
      <c r="C49" s="0" t="s">
        <v>226</v>
      </c>
    </row>
    <row r="50" customFormat="false" ht="13.8" hidden="false" customHeight="false" outlineLevel="0" collapsed="false">
      <c r="A50" s="0" t="s">
        <v>89</v>
      </c>
      <c r="B50" s="1" t="s">
        <v>126</v>
      </c>
      <c r="C50" s="0" t="n">
        <v>2</v>
      </c>
    </row>
    <row r="51" customFormat="false" ht="13.8" hidden="false" customHeight="false" outlineLevel="0" collapsed="false">
      <c r="A51" s="0" t="s">
        <v>89</v>
      </c>
      <c r="B51" s="1" t="s">
        <v>127</v>
      </c>
      <c r="C51" s="0" t="n">
        <v>0</v>
      </c>
    </row>
    <row r="52" customFormat="false" ht="13.8" hidden="false" customHeight="false" outlineLevel="0" collapsed="false">
      <c r="A52" s="0" t="s">
        <v>89</v>
      </c>
      <c r="B52" s="1" t="s">
        <v>128</v>
      </c>
      <c r="C52" s="0" t="n">
        <v>2</v>
      </c>
    </row>
    <row r="53" customFormat="false" ht="13.8" hidden="false" customHeight="false" outlineLevel="0" collapsed="false">
      <c r="B53" s="1"/>
    </row>
    <row r="54" customFormat="false" ht="13.8" hidden="false" customHeight="false" outlineLevel="0" collapsed="false">
      <c r="A54" s="0" t="s">
        <v>91</v>
      </c>
      <c r="B54" s="1" t="s">
        <v>124</v>
      </c>
      <c r="C54" s="0" t="s">
        <v>226</v>
      </c>
    </row>
    <row r="55" customFormat="false" ht="13.8" hidden="false" customHeight="false" outlineLevel="0" collapsed="false">
      <c r="A55" s="0" t="s">
        <v>91</v>
      </c>
      <c r="B55" s="1" t="s">
        <v>126</v>
      </c>
      <c r="C55" s="0" t="n">
        <v>2</v>
      </c>
    </row>
    <row r="56" customFormat="false" ht="13.8" hidden="false" customHeight="false" outlineLevel="0" collapsed="false">
      <c r="A56" s="0" t="s">
        <v>91</v>
      </c>
      <c r="B56" s="1" t="s">
        <v>127</v>
      </c>
      <c r="C56" s="0" t="n">
        <v>0</v>
      </c>
    </row>
    <row r="57" customFormat="false" ht="13.8" hidden="false" customHeight="false" outlineLevel="0" collapsed="false">
      <c r="A57" s="0" t="s">
        <v>91</v>
      </c>
      <c r="B57" s="1" t="s">
        <v>128</v>
      </c>
      <c r="C57" s="0" t="n">
        <v>2</v>
      </c>
    </row>
    <row r="58" customFormat="false" ht="13.8" hidden="false" customHeight="false" outlineLevel="0" collapsed="false">
      <c r="B58" s="1"/>
    </row>
    <row r="59" customFormat="false" ht="13.8" hidden="false" customHeight="false" outlineLevel="0" collapsed="false">
      <c r="A59" s="0" t="s">
        <v>93</v>
      </c>
      <c r="B59" s="1" t="s">
        <v>124</v>
      </c>
      <c r="C59" s="0" t="s">
        <v>225</v>
      </c>
    </row>
    <row r="60" customFormat="false" ht="13.8" hidden="false" customHeight="false" outlineLevel="0" collapsed="false">
      <c r="A60" s="0" t="s">
        <v>93</v>
      </c>
      <c r="B60" s="1" t="s">
        <v>126</v>
      </c>
      <c r="C60" s="0" t="n">
        <v>4</v>
      </c>
    </row>
    <row r="61" customFormat="false" ht="13.8" hidden="false" customHeight="false" outlineLevel="0" collapsed="false">
      <c r="A61" s="0" t="s">
        <v>93</v>
      </c>
      <c r="B61" s="1" t="s">
        <v>127</v>
      </c>
      <c r="C61" s="0" t="n">
        <v>0</v>
      </c>
    </row>
    <row r="62" customFormat="false" ht="13.8" hidden="false" customHeight="false" outlineLevel="0" collapsed="false">
      <c r="A62" s="0" t="s">
        <v>93</v>
      </c>
      <c r="B62" s="1" t="s">
        <v>128</v>
      </c>
      <c r="C62" s="0" t="n">
        <v>4</v>
      </c>
    </row>
    <row r="63" customFormat="false" ht="13.8" hidden="false" customHeight="false" outlineLevel="0" collapsed="false">
      <c r="B63" s="1"/>
    </row>
    <row r="64" customFormat="false" ht="13.8" hidden="false" customHeight="false" outlineLevel="0" collapsed="false">
      <c r="A64" s="0" t="s">
        <v>95</v>
      </c>
      <c r="B64" s="1" t="s">
        <v>124</v>
      </c>
      <c r="C64" s="0" t="s">
        <v>229</v>
      </c>
    </row>
    <row r="65" customFormat="false" ht="13.8" hidden="false" customHeight="false" outlineLevel="0" collapsed="false">
      <c r="A65" s="0" t="s">
        <v>95</v>
      </c>
      <c r="B65" s="1" t="s">
        <v>126</v>
      </c>
      <c r="C65" s="0" t="n">
        <v>4</v>
      </c>
    </row>
    <row r="66" customFormat="false" ht="13.8" hidden="false" customHeight="false" outlineLevel="0" collapsed="false">
      <c r="A66" s="0" t="s">
        <v>95</v>
      </c>
      <c r="B66" s="1" t="s">
        <v>127</v>
      </c>
      <c r="C66" s="0" t="n">
        <v>0</v>
      </c>
    </row>
    <row r="67" customFormat="false" ht="13.8" hidden="false" customHeight="false" outlineLevel="0" collapsed="false">
      <c r="A67" s="0" t="s">
        <v>95</v>
      </c>
      <c r="B67" s="1" t="s">
        <v>128</v>
      </c>
      <c r="C67" s="0" t="n">
        <v>4</v>
      </c>
    </row>
    <row r="68" customFormat="false" ht="13.8" hidden="false" customHeight="false" outlineLevel="0" collapsed="false">
      <c r="B68" s="1"/>
    </row>
    <row r="69" customFormat="false" ht="13.8" hidden="false" customHeight="false" outlineLevel="0" collapsed="false">
      <c r="A69" s="0" t="s">
        <v>97</v>
      </c>
      <c r="B69" s="1" t="s">
        <v>124</v>
      </c>
      <c r="C69" s="0" t="s">
        <v>226</v>
      </c>
    </row>
    <row r="70" customFormat="false" ht="13.8" hidden="false" customHeight="false" outlineLevel="0" collapsed="false">
      <c r="A70" s="0" t="s">
        <v>97</v>
      </c>
      <c r="B70" s="1" t="s">
        <v>126</v>
      </c>
      <c r="C70" s="0" t="n">
        <v>2</v>
      </c>
    </row>
    <row r="71" customFormat="false" ht="13.8" hidden="false" customHeight="false" outlineLevel="0" collapsed="false">
      <c r="A71" s="0" t="s">
        <v>97</v>
      </c>
      <c r="B71" s="1" t="s">
        <v>127</v>
      </c>
      <c r="C71" s="0" t="n">
        <v>0</v>
      </c>
    </row>
    <row r="72" customFormat="false" ht="13.8" hidden="false" customHeight="false" outlineLevel="0" collapsed="false">
      <c r="A72" s="0" t="s">
        <v>97</v>
      </c>
      <c r="B72" s="1" t="s">
        <v>128</v>
      </c>
      <c r="C72" s="0" t="n">
        <v>2</v>
      </c>
    </row>
    <row r="73" customFormat="false" ht="13.8" hidden="false" customHeight="false" outlineLevel="0" collapsed="false">
      <c r="B73" s="1"/>
    </row>
    <row r="74" customFormat="false" ht="13.8" hidden="false" customHeight="false" outlineLevel="0" collapsed="false">
      <c r="A74" s="0" t="s">
        <v>99</v>
      </c>
      <c r="B74" s="1" t="s">
        <v>124</v>
      </c>
      <c r="C74" s="0" t="s">
        <v>226</v>
      </c>
    </row>
    <row r="75" customFormat="false" ht="13.8" hidden="false" customHeight="false" outlineLevel="0" collapsed="false">
      <c r="A75" s="0" t="s">
        <v>99</v>
      </c>
      <c r="B75" s="1" t="s">
        <v>126</v>
      </c>
      <c r="C75" s="0" t="n">
        <v>2</v>
      </c>
    </row>
    <row r="76" customFormat="false" ht="13.8" hidden="false" customHeight="false" outlineLevel="0" collapsed="false">
      <c r="A76" s="0" t="s">
        <v>99</v>
      </c>
      <c r="B76" s="1" t="s">
        <v>127</v>
      </c>
      <c r="C76" s="0" t="n">
        <v>0</v>
      </c>
    </row>
    <row r="77" customFormat="false" ht="13.8" hidden="false" customHeight="false" outlineLevel="0" collapsed="false">
      <c r="A77" s="0" t="s">
        <v>99</v>
      </c>
      <c r="B77" s="1" t="s">
        <v>128</v>
      </c>
      <c r="C77" s="0" t="n">
        <v>2</v>
      </c>
    </row>
    <row r="78" customFormat="false" ht="13.8" hidden="false" customHeight="false" outlineLevel="0" collapsed="false">
      <c r="B78" s="1"/>
    </row>
    <row r="79" customFormat="false" ht="14.7" hidden="false" customHeight="false" outlineLevel="0" collapsed="false">
      <c r="B79" s="6" t="s">
        <v>126</v>
      </c>
      <c r="C79" s="7" t="n">
        <f aca="false">SUM(C5,C10,C20,C25,C30,C35,C40,C45,C50,C55,C60,C65,C70,C75,C15)</f>
        <v>42</v>
      </c>
      <c r="F79" s="10" t="s">
        <v>76</v>
      </c>
      <c r="G79" s="10"/>
    </row>
    <row r="80" customFormat="false" ht="13.8" hidden="false" customHeight="false" outlineLevel="0" collapsed="false">
      <c r="B80" s="6" t="s">
        <v>143</v>
      </c>
      <c r="C80" s="7" t="n">
        <f aca="false">SUM(C76,C66,C61,C51,C41,C31,C21,C11,C6,C16)</f>
        <v>0</v>
      </c>
      <c r="F80" s="11" t="s">
        <v>79</v>
      </c>
      <c r="G80" s="11"/>
    </row>
    <row r="81" customFormat="false" ht="13.8" hidden="false" customHeight="false" outlineLevel="0" collapsed="false">
      <c r="B81" s="6" t="s">
        <v>144</v>
      </c>
      <c r="C81" s="7" t="n">
        <f aca="false">C79-C80</f>
        <v>42</v>
      </c>
      <c r="F81" s="0" t="s">
        <v>83</v>
      </c>
      <c r="G81" s="0" t="s">
        <v>84</v>
      </c>
    </row>
    <row r="82" customFormat="false" ht="13.8" hidden="false" customHeight="false" outlineLevel="0" collapsed="false">
      <c r="B82" s="6" t="s">
        <v>145</v>
      </c>
      <c r="C82" s="13" t="n">
        <f aca="false">C81/C79*100</f>
        <v>100</v>
      </c>
      <c r="F82" s="0" t="n">
        <v>15</v>
      </c>
      <c r="G82" s="0" t="n">
        <v>0</v>
      </c>
    </row>
  </sheetData>
  <mergeCells count="1">
    <mergeCell ref="F80:G8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25"/>
  <sheetViews>
    <sheetView showFormulas="false" showGridLines="true" showRowColHeaders="true" showZeros="true" rightToLeft="false" tabSelected="false" showOutlineSymbols="true" defaultGridColor="true" view="normal" topLeftCell="D1" colorId="64" zoomScale="81" zoomScaleNormal="81" zoomScalePageLayoutView="100" workbookViewId="0">
      <selection pane="topLeft" activeCell="I40" activeCellId="0" sqref="I40"/>
    </sheetView>
  </sheetViews>
  <sheetFormatPr defaultColWidth="10.58203125" defaultRowHeight="14.25" zeroHeight="false" outlineLevelRow="0" outlineLevelCol="0"/>
  <cols>
    <col collapsed="false" customWidth="true" hidden="false" outlineLevel="0" max="1" min="1" style="0" width="17.67"/>
    <col collapsed="false" customWidth="true" hidden="false" outlineLevel="0" max="3" min="2" style="0" width="80"/>
    <col collapsed="false" customWidth="true" hidden="false" outlineLevel="0" max="4" min="4" style="0" width="79.89"/>
    <col collapsed="false" customWidth="true" hidden="false" outlineLevel="0" max="10" min="5" style="0" width="31.85"/>
  </cols>
  <sheetData>
    <row r="1" customFormat="false" ht="14.25" hidden="false" customHeight="false" outlineLevel="0" collapsed="false">
      <c r="A1" s="1" t="s">
        <v>230</v>
      </c>
    </row>
    <row r="2" customFormat="false" ht="14.25" hidden="false" customHeight="false" outlineLevel="0" collapsed="false">
      <c r="A2" s="1" t="s">
        <v>231</v>
      </c>
      <c r="B2" s="0" t="s">
        <v>232</v>
      </c>
    </row>
    <row r="4" customFormat="false" ht="13.8" hidden="false" customHeight="false" outlineLevel="0" collapsed="false">
      <c r="E4" s="2" t="s">
        <v>3</v>
      </c>
      <c r="F4" s="2"/>
      <c r="G4" s="2"/>
      <c r="H4" s="2" t="s">
        <v>4</v>
      </c>
      <c r="I4" s="2"/>
      <c r="J4" s="2"/>
    </row>
    <row r="5" customFormat="false" ht="13.8" hidden="false" customHeight="false" outlineLevel="0" collapsed="false">
      <c r="A5" s="3" t="s">
        <v>5</v>
      </c>
      <c r="B5" s="3" t="s">
        <v>6</v>
      </c>
      <c r="C5" s="4" t="s">
        <v>7</v>
      </c>
      <c r="D5" s="4" t="s">
        <v>8</v>
      </c>
      <c r="E5" s="3" t="s">
        <v>9</v>
      </c>
      <c r="F5" s="4" t="s">
        <v>10</v>
      </c>
      <c r="G5" s="4" t="s">
        <v>11</v>
      </c>
      <c r="H5" s="3" t="s">
        <v>9</v>
      </c>
      <c r="I5" s="4" t="s">
        <v>10</v>
      </c>
      <c r="J5" s="4" t="s">
        <v>11</v>
      </c>
    </row>
    <row r="6" customFormat="false" ht="13.8" hidden="false" customHeight="false" outlineLevel="0" collapsed="false">
      <c r="A6" s="5" t="n">
        <v>1</v>
      </c>
      <c r="B6" s="0" t="s">
        <v>233</v>
      </c>
      <c r="C6" s="0" t="s">
        <v>234</v>
      </c>
      <c r="E6" s="0" t="n">
        <v>0.641</v>
      </c>
      <c r="F6" s="0" t="n">
        <v>0.914</v>
      </c>
      <c r="G6" s="0" t="n">
        <v>0.8763</v>
      </c>
      <c r="H6" s="0" t="n">
        <v>0.8619</v>
      </c>
      <c r="I6" s="0" t="n">
        <v>0.9179</v>
      </c>
      <c r="J6" s="0" t="n">
        <v>0.8906</v>
      </c>
    </row>
    <row r="7" customFormat="false" ht="13.8" hidden="false" customHeight="false" outlineLevel="0" collapsed="false">
      <c r="A7" s="5" t="n">
        <v>2</v>
      </c>
      <c r="B7" s="0" t="s">
        <v>235</v>
      </c>
      <c r="C7" s="0" t="s">
        <v>236</v>
      </c>
      <c r="E7" s="0" t="n">
        <v>0.4172</v>
      </c>
      <c r="F7" s="0" t="n">
        <v>0.7895</v>
      </c>
      <c r="G7" s="0" t="n">
        <v>0.8484</v>
      </c>
      <c r="H7" s="0" t="n">
        <v>0.8536</v>
      </c>
      <c r="I7" s="0" t="n">
        <v>0.8622</v>
      </c>
      <c r="J7" s="0" t="n">
        <v>0.8796</v>
      </c>
    </row>
    <row r="8" customFormat="false" ht="13.8" hidden="false" customHeight="false" outlineLevel="0" collapsed="false">
      <c r="A8" s="5" t="n">
        <v>3</v>
      </c>
      <c r="B8" s="0" t="s">
        <v>237</v>
      </c>
      <c r="C8" s="0" t="s">
        <v>238</v>
      </c>
      <c r="E8" s="0" t="n">
        <v>0.505</v>
      </c>
      <c r="F8" s="0" t="n">
        <v>0.723</v>
      </c>
      <c r="G8" s="0" t="n">
        <v>0.8509</v>
      </c>
      <c r="H8" s="0" t="n">
        <v>0.8628</v>
      </c>
      <c r="I8" s="0" t="n">
        <v>0.8792</v>
      </c>
      <c r="J8" s="0" t="n">
        <v>0.8918</v>
      </c>
    </row>
    <row r="9" customFormat="false" ht="13.8" hidden="false" customHeight="false" outlineLevel="0" collapsed="false">
      <c r="A9" s="5" t="n">
        <v>4</v>
      </c>
      <c r="B9" s="0" t="s">
        <v>239</v>
      </c>
      <c r="C9" s="0" t="s">
        <v>240</v>
      </c>
      <c r="E9" s="0" t="n">
        <v>0.2859</v>
      </c>
      <c r="F9" s="0" t="n">
        <v>0.7273</v>
      </c>
      <c r="G9" s="0" t="n">
        <v>0.8879</v>
      </c>
      <c r="H9" s="0" t="n">
        <v>0.8456</v>
      </c>
      <c r="I9" s="0" t="n">
        <v>0.8634</v>
      </c>
      <c r="J9" s="0" t="n">
        <v>0.9158</v>
      </c>
    </row>
    <row r="10" customFormat="false" ht="13.8" hidden="false" customHeight="false" outlineLevel="0" collapsed="false">
      <c r="A10" s="5" t="n">
        <v>5</v>
      </c>
      <c r="B10" s="0" t="s">
        <v>241</v>
      </c>
      <c r="C10" s="0" t="s">
        <v>242</v>
      </c>
      <c r="E10" s="0" t="n">
        <v>0.4077</v>
      </c>
      <c r="F10" s="0" t="n">
        <v>0.8309</v>
      </c>
      <c r="G10" s="0" t="n">
        <v>0.8602</v>
      </c>
      <c r="H10" s="0" t="n">
        <v>0.8437</v>
      </c>
      <c r="I10" s="0" t="n">
        <v>0.8944</v>
      </c>
      <c r="J10" s="0" t="n">
        <v>0.8909</v>
      </c>
    </row>
    <row r="11" customFormat="false" ht="13.8" hidden="false" customHeight="false" outlineLevel="0" collapsed="false">
      <c r="A11" s="5" t="n">
        <v>6</v>
      </c>
      <c r="B11" s="0" t="s">
        <v>243</v>
      </c>
      <c r="C11" s="0" t="s">
        <v>244</v>
      </c>
      <c r="E11" s="0" t="n">
        <v>0.4109</v>
      </c>
      <c r="F11" s="0" t="n">
        <v>0.7684</v>
      </c>
      <c r="G11" s="0" t="n">
        <v>0.8894</v>
      </c>
      <c r="H11" s="0" t="n">
        <v>0.8443</v>
      </c>
      <c r="I11" s="0" t="n">
        <v>0.8791</v>
      </c>
      <c r="J11" s="0" t="n">
        <v>0.8861</v>
      </c>
    </row>
    <row r="12" customFormat="false" ht="13.8" hidden="false" customHeight="false" outlineLevel="0" collapsed="false">
      <c r="A12" s="5" t="n">
        <v>7</v>
      </c>
      <c r="B12" s="0" t="s">
        <v>245</v>
      </c>
      <c r="C12" s="0" t="s">
        <v>246</v>
      </c>
      <c r="E12" s="0" t="n">
        <v>0.4504</v>
      </c>
      <c r="F12" s="0" t="n">
        <v>0.8484</v>
      </c>
      <c r="G12" s="0" t="n">
        <v>0.901</v>
      </c>
      <c r="H12" s="0" t="n">
        <v>0.8408</v>
      </c>
      <c r="I12" s="0" t="n">
        <v>0.9121</v>
      </c>
      <c r="J12" s="0" t="n">
        <v>0.9235</v>
      </c>
    </row>
    <row r="13" customFormat="false" ht="13.8" hidden="false" customHeight="false" outlineLevel="0" collapsed="false">
      <c r="A13" s="5" t="n">
        <v>8</v>
      </c>
      <c r="B13" s="0" t="s">
        <v>247</v>
      </c>
      <c r="C13" s="0" t="s">
        <v>248</v>
      </c>
      <c r="E13" s="0" t="n">
        <v>0.5265</v>
      </c>
      <c r="F13" s="0" t="n">
        <v>0.7995</v>
      </c>
      <c r="G13" s="0" t="n">
        <v>0.9271</v>
      </c>
      <c r="H13" s="0" t="n">
        <v>0.8357</v>
      </c>
      <c r="I13" s="0" t="n">
        <v>0.8869</v>
      </c>
      <c r="J13" s="0" t="n">
        <v>0.8952</v>
      </c>
    </row>
    <row r="14" customFormat="false" ht="13.8" hidden="false" customHeight="false" outlineLevel="0" collapsed="false">
      <c r="A14" s="5" t="n">
        <v>9</v>
      </c>
      <c r="B14" s="0" t="s">
        <v>249</v>
      </c>
      <c r="C14" s="0" t="s">
        <v>250</v>
      </c>
      <c r="E14" s="0" t="n">
        <v>0.5102</v>
      </c>
      <c r="F14" s="0" t="n">
        <v>0.8173</v>
      </c>
      <c r="G14" s="0" t="n">
        <v>0.8744</v>
      </c>
      <c r="H14" s="0" t="n">
        <v>0.8371</v>
      </c>
      <c r="I14" s="0" t="n">
        <v>0.8851</v>
      </c>
      <c r="J14" s="0" t="n">
        <v>0.9135</v>
      </c>
    </row>
    <row r="15" customFormat="false" ht="13.8" hidden="false" customHeight="false" outlineLevel="0" collapsed="false">
      <c r="A15" s="5" t="n">
        <v>10</v>
      </c>
      <c r="B15" s="0" t="s">
        <v>251</v>
      </c>
      <c r="C15" s="0" t="s">
        <v>252</v>
      </c>
      <c r="E15" s="0" t="n">
        <v>0.511</v>
      </c>
      <c r="F15" s="0" t="n">
        <v>0.8051</v>
      </c>
      <c r="G15" s="0" t="n">
        <v>0.8926</v>
      </c>
      <c r="H15" s="0" t="n">
        <v>0.8555</v>
      </c>
      <c r="I15" s="0" t="n">
        <v>0.8724</v>
      </c>
      <c r="J15" s="0" t="n">
        <v>0.8884</v>
      </c>
    </row>
    <row r="16" customFormat="false" ht="13.8" hidden="false" customHeight="false" outlineLevel="0" collapsed="false">
      <c r="A16" s="5" t="n">
        <v>11</v>
      </c>
      <c r="B16" s="0" t="s">
        <v>253</v>
      </c>
      <c r="C16" s="0" t="s">
        <v>254</v>
      </c>
      <c r="E16" s="0" t="n">
        <v>0.3153</v>
      </c>
      <c r="F16" s="0" t="n">
        <v>0.8745</v>
      </c>
      <c r="G16" s="0" t="n">
        <v>0.8973</v>
      </c>
      <c r="H16" s="0" t="n">
        <v>0.8387</v>
      </c>
      <c r="I16" s="0" t="n">
        <v>0.8957</v>
      </c>
      <c r="J16" s="0" t="n">
        <v>0.8992</v>
      </c>
    </row>
    <row r="17" customFormat="false" ht="13.8" hidden="false" customHeight="false" outlineLevel="0" collapsed="false">
      <c r="A17" s="5" t="n">
        <v>12</v>
      </c>
      <c r="B17" s="0" t="s">
        <v>255</v>
      </c>
      <c r="C17" s="0" t="s">
        <v>256</v>
      </c>
      <c r="E17" s="0" t="n">
        <v>0.4851</v>
      </c>
      <c r="F17" s="0" t="n">
        <v>0.6071</v>
      </c>
      <c r="G17" s="0" t="n">
        <v>0.894</v>
      </c>
      <c r="H17" s="0" t="n">
        <v>0.8467</v>
      </c>
      <c r="I17" s="0" t="n">
        <v>0.867</v>
      </c>
      <c r="J17" s="0" t="n">
        <v>0.8974</v>
      </c>
    </row>
    <row r="18" customFormat="false" ht="13.8" hidden="false" customHeight="false" outlineLevel="0" collapsed="false">
      <c r="A18" s="5" t="n">
        <v>13</v>
      </c>
      <c r="B18" s="0" t="s">
        <v>257</v>
      </c>
      <c r="C18" s="0" t="s">
        <v>258</v>
      </c>
      <c r="E18" s="0" t="n">
        <v>0.5293</v>
      </c>
      <c r="F18" s="0" t="n">
        <v>0.8618</v>
      </c>
      <c r="G18" s="0" t="n">
        <v>0.8928</v>
      </c>
      <c r="H18" s="0" t="n">
        <v>0.8397</v>
      </c>
      <c r="I18" s="0" t="n">
        <v>0.8679</v>
      </c>
      <c r="J18" s="0" t="n">
        <v>0.8952</v>
      </c>
    </row>
    <row r="19" customFormat="false" ht="13.8" hidden="false" customHeight="false" outlineLevel="0" collapsed="false">
      <c r="A19" s="5" t="n">
        <v>14</v>
      </c>
      <c r="B19" s="0" t="s">
        <v>259</v>
      </c>
      <c r="C19" s="0" t="s">
        <v>260</v>
      </c>
      <c r="E19" s="0" t="n">
        <v>0.2917</v>
      </c>
      <c r="F19" s="0" t="n">
        <v>0.8251</v>
      </c>
      <c r="G19" s="0" t="n">
        <v>0.8288</v>
      </c>
      <c r="H19" s="0" t="n">
        <v>0.8419</v>
      </c>
      <c r="I19" s="0" t="n">
        <v>0.8949</v>
      </c>
      <c r="J19" s="0" t="n">
        <v>0.8911</v>
      </c>
    </row>
    <row r="20" customFormat="false" ht="13.8" hidden="false" customHeight="false" outlineLevel="0" collapsed="false">
      <c r="A20" s="5" t="n">
        <v>15</v>
      </c>
      <c r="B20" s="0" t="s">
        <v>261</v>
      </c>
      <c r="C20" s="0" t="s">
        <v>262</v>
      </c>
      <c r="E20" s="0" t="n">
        <v>0.5602</v>
      </c>
      <c r="F20" s="0" t="n">
        <v>0.9289</v>
      </c>
      <c r="G20" s="0" t="n">
        <v>0.8797</v>
      </c>
      <c r="H20" s="0" t="n">
        <v>0.8567</v>
      </c>
      <c r="I20" s="0" t="n">
        <v>0.9197</v>
      </c>
      <c r="J20" s="0" t="n">
        <v>0.9038</v>
      </c>
    </row>
    <row r="21" customFormat="false" ht="13.8" hidden="false" customHeight="false" outlineLevel="0" collapsed="false"/>
    <row r="22" customFormat="false" ht="13.8" hidden="false" customHeight="false" outlineLevel="0" collapsed="false">
      <c r="C22" s="6" t="s">
        <v>192</v>
      </c>
      <c r="D22" s="6"/>
      <c r="E22" s="7" t="n">
        <f aca="false">AVERAGE(E6:E20)</f>
        <v>0.456493333333333</v>
      </c>
      <c r="F22" s="7" t="n">
        <f aca="false">AVERAGE(F6:F20)</f>
        <v>0.808053333333333</v>
      </c>
      <c r="G22" s="7" t="n">
        <f aca="false">AVERAGE(G6:G20)</f>
        <v>0.880053333333333</v>
      </c>
      <c r="H22" s="7" t="n">
        <f aca="false">AVERAGE(H6:H20)</f>
        <v>0.84698</v>
      </c>
      <c r="I22" s="7" t="n">
        <f aca="false">AVERAGE(I6:I20)</f>
        <v>0.886526666666667</v>
      </c>
      <c r="J22" s="7" t="n">
        <f aca="false">AVERAGE(J6:J20)</f>
        <v>0.897473333333333</v>
      </c>
    </row>
    <row r="23" customFormat="false" ht="13.8" hidden="false" customHeight="false" outlineLevel="0" collapsed="false">
      <c r="C23" s="6" t="s">
        <v>193</v>
      </c>
      <c r="D23" s="6"/>
      <c r="E23" s="7" t="n">
        <f aca="false">_xlfn.STDEV.S(E6:E20)</f>
        <v>0.102211709328284</v>
      </c>
      <c r="F23" s="7" t="n">
        <f aca="false">_xlfn.STDEV.S(F6:F20)</f>
        <v>0.0809736717940438</v>
      </c>
      <c r="G23" s="7" t="n">
        <f aca="false">_xlfn.STDEV.S(G6:G20)</f>
        <v>0.0246866322029517</v>
      </c>
      <c r="H23" s="7" t="n">
        <f aca="false">_xlfn.STDEV.S(H6:H20)</f>
        <v>0.00892069824301088</v>
      </c>
      <c r="I23" s="7" t="n">
        <f aca="false">_xlfn.STDEV.S(I6:I20)</f>
        <v>0.0191244968810262</v>
      </c>
      <c r="J23" s="7" t="n">
        <f aca="false">_xlfn.STDEV.S(J6:J20)</f>
        <v>0.0120055027065965</v>
      </c>
    </row>
    <row r="24" customFormat="false" ht="13.8" hidden="false" customHeight="false" outlineLevel="0" collapsed="false">
      <c r="C24" s="6" t="s">
        <v>194</v>
      </c>
      <c r="D24" s="6"/>
      <c r="E24" s="7" t="n">
        <f aca="false">MEDIAN(E6:E20)</f>
        <v>0.4851</v>
      </c>
      <c r="F24" s="7" t="n">
        <f aca="false">MEDIAN(F6:F20)</f>
        <v>0.8173</v>
      </c>
      <c r="G24" s="7" t="n">
        <f aca="false">MEDIAN(G6:G20)</f>
        <v>0.8879</v>
      </c>
      <c r="H24" s="7" t="n">
        <f aca="false">MEDIAN(H6:H20)</f>
        <v>0.8443</v>
      </c>
      <c r="I24" s="7" t="n">
        <f aca="false">MEDIAN(I6:I20)</f>
        <v>0.8851</v>
      </c>
      <c r="J24" s="7" t="n">
        <f aca="false">MEDIAN(J6:J20)</f>
        <v>0.8952</v>
      </c>
    </row>
    <row r="25" customFormat="false" ht="13.8" hidden="false" customHeight="false" outlineLevel="0" collapsed="false">
      <c r="C25" s="6" t="s">
        <v>195</v>
      </c>
      <c r="D25" s="6"/>
      <c r="E25" s="7" t="n">
        <f aca="false">E23/E22</f>
        <v>0.223906247615774</v>
      </c>
      <c r="F25" s="7" t="n">
        <f aca="false">F23/F22</f>
        <v>0.100208325928211</v>
      </c>
      <c r="G25" s="7" t="n">
        <f aca="false">G23/G22</f>
        <v>0.0280512910614716</v>
      </c>
      <c r="H25" s="7" t="n">
        <f aca="false">H23/H22</f>
        <v>0.010532359964829</v>
      </c>
      <c r="I25" s="7" t="n">
        <f aca="false">I23/I22</f>
        <v>0.0215723876112313</v>
      </c>
      <c r="J25" s="7" t="n">
        <f aca="false">J23/J22</f>
        <v>0.0133770021466894</v>
      </c>
    </row>
  </sheetData>
  <mergeCells count="2">
    <mergeCell ref="E4:G4"/>
    <mergeCell ref="H4:J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47"/>
  <sheetViews>
    <sheetView showFormulas="false" showGridLines="true" showRowColHeaders="true" showZeros="true" rightToLeft="false" tabSelected="false" showOutlineSymbols="true" defaultGridColor="true" view="normal" topLeftCell="C1" colorId="64" zoomScale="81" zoomScaleNormal="81" zoomScalePageLayoutView="100" workbookViewId="0">
      <selection pane="topLeft" activeCell="L17" activeCellId="0" sqref="L17"/>
    </sheetView>
  </sheetViews>
  <sheetFormatPr defaultColWidth="10.58203125" defaultRowHeight="13.8" zeroHeight="false" outlineLevelRow="0" outlineLevelCol="0"/>
  <cols>
    <col collapsed="false" customWidth="true" hidden="false" outlineLevel="0" max="1" min="1" style="0" width="20.89"/>
    <col collapsed="false" customWidth="true" hidden="false" outlineLevel="0" max="2" min="2" style="0" width="179.13"/>
    <col collapsed="false" customWidth="true" hidden="false" outlineLevel="0" max="6" min="3" style="0" width="21.77"/>
    <col collapsed="false" customWidth="true" hidden="false" outlineLevel="0" max="13" min="10" style="0" width="26.94"/>
    <col collapsed="false" customWidth="true" hidden="false" outlineLevel="0" max="1024" min="1024" style="0" width="9.14"/>
  </cols>
  <sheetData>
    <row r="1" customFormat="false" ht="13.8" hidden="false" customHeight="false" outlineLevel="0" collapsed="false">
      <c r="A1" s="8" t="s">
        <v>57</v>
      </c>
      <c r="B1" s="8" t="s">
        <v>58</v>
      </c>
      <c r="C1" s="8" t="s">
        <v>60</v>
      </c>
    </row>
    <row r="2" customFormat="false" ht="13.8" hidden="false" customHeight="false" outlineLevel="0" collapsed="false">
      <c r="A2" s="1" t="s">
        <v>263</v>
      </c>
    </row>
    <row r="4" customFormat="false" ht="13.8" hidden="false" customHeight="false" outlineLevel="0" collapsed="false">
      <c r="A4" s="9" t="s">
        <v>5</v>
      </c>
      <c r="B4" s="9" t="s">
        <v>63</v>
      </c>
      <c r="C4" s="9" t="s">
        <v>264</v>
      </c>
      <c r="D4" s="9" t="s">
        <v>65</v>
      </c>
      <c r="E4" s="9" t="s">
        <v>66</v>
      </c>
      <c r="F4" s="9" t="s">
        <v>67</v>
      </c>
    </row>
    <row r="5" customFormat="false" ht="13.8" hidden="false" customHeight="false" outlineLevel="0" collapsed="false">
      <c r="A5" s="5" t="s">
        <v>68</v>
      </c>
      <c r="B5" s="0" t="s">
        <v>265</v>
      </c>
      <c r="C5" s="5" t="n">
        <v>3</v>
      </c>
      <c r="D5" s="5" t="n">
        <v>0</v>
      </c>
      <c r="E5" s="5" t="n">
        <v>3</v>
      </c>
      <c r="F5" s="5" t="n">
        <v>3</v>
      </c>
    </row>
    <row r="6" customFormat="false" ht="14.7" hidden="false" customHeight="false" outlineLevel="0" collapsed="false">
      <c r="A6" s="5" t="s">
        <v>70</v>
      </c>
      <c r="B6" s="0" t="s">
        <v>266</v>
      </c>
      <c r="C6" s="5" t="n">
        <v>3</v>
      </c>
      <c r="D6" s="5" t="n">
        <v>0</v>
      </c>
      <c r="E6" s="5" t="n">
        <v>3</v>
      </c>
      <c r="F6" s="5" t="n">
        <v>3</v>
      </c>
      <c r="J6" s="10" t="s">
        <v>76</v>
      </c>
      <c r="K6" s="10"/>
    </row>
    <row r="7" customFormat="false" ht="13.8" hidden="false" customHeight="false" outlineLevel="0" collapsed="false">
      <c r="A7" s="5" t="s">
        <v>72</v>
      </c>
      <c r="B7" s="0" t="s">
        <v>267</v>
      </c>
      <c r="C7" s="5" t="n">
        <v>3</v>
      </c>
      <c r="D7" s="5" t="n">
        <v>0</v>
      </c>
      <c r="E7" s="5" t="n">
        <v>3</v>
      </c>
      <c r="F7" s="5" t="n">
        <v>3</v>
      </c>
      <c r="J7" s="11" t="s">
        <v>79</v>
      </c>
      <c r="K7" s="11"/>
      <c r="L7" s="11" t="s">
        <v>80</v>
      </c>
      <c r="M7" s="11"/>
    </row>
    <row r="8" customFormat="false" ht="13.8" hidden="false" customHeight="false" outlineLevel="0" collapsed="false">
      <c r="A8" s="5" t="s">
        <v>74</v>
      </c>
      <c r="B8" s="0" t="s">
        <v>268</v>
      </c>
      <c r="C8" s="5" t="n">
        <v>6</v>
      </c>
      <c r="D8" s="5" t="n">
        <v>0</v>
      </c>
      <c r="E8" s="5" t="n">
        <v>6</v>
      </c>
      <c r="F8" s="5" t="n">
        <v>6</v>
      </c>
      <c r="J8" s="0" t="s">
        <v>83</v>
      </c>
      <c r="K8" s="0" t="s">
        <v>84</v>
      </c>
      <c r="L8" s="0" t="s">
        <v>83</v>
      </c>
      <c r="M8" s="0" t="s">
        <v>84</v>
      </c>
    </row>
    <row r="9" customFormat="false" ht="13.8" hidden="false" customHeight="false" outlineLevel="0" collapsed="false">
      <c r="A9" s="5" t="s">
        <v>77</v>
      </c>
      <c r="B9" s="0" t="s">
        <v>269</v>
      </c>
      <c r="C9" s="5" t="n">
        <v>6</v>
      </c>
      <c r="D9" s="5" t="n">
        <v>0</v>
      </c>
      <c r="E9" s="5" t="n">
        <v>6</v>
      </c>
      <c r="F9" s="5" t="n">
        <v>6</v>
      </c>
      <c r="J9" s="0" t="n">
        <v>14</v>
      </c>
      <c r="K9" s="0" t="n">
        <v>1</v>
      </c>
      <c r="L9" s="0" t="n">
        <v>5</v>
      </c>
      <c r="M9" s="0" t="n">
        <v>10</v>
      </c>
    </row>
    <row r="10" customFormat="false" ht="13.8" hidden="false" customHeight="false" outlineLevel="0" collapsed="false">
      <c r="A10" s="5" t="s">
        <v>81</v>
      </c>
      <c r="B10" s="0" t="s">
        <v>270</v>
      </c>
      <c r="C10" s="5" t="n">
        <v>7</v>
      </c>
      <c r="D10" s="5" t="n">
        <v>0</v>
      </c>
      <c r="E10" s="5" t="n">
        <v>7</v>
      </c>
      <c r="F10" s="5" t="n">
        <v>7</v>
      </c>
    </row>
    <row r="11" customFormat="false" ht="13.8" hidden="false" customHeight="false" outlineLevel="0" collapsed="false">
      <c r="A11" s="5" t="s">
        <v>85</v>
      </c>
      <c r="B11" s="0" t="s">
        <v>271</v>
      </c>
      <c r="C11" s="5" t="n">
        <v>7</v>
      </c>
      <c r="D11" s="5" t="n">
        <v>1</v>
      </c>
      <c r="E11" s="5" t="n">
        <v>6</v>
      </c>
      <c r="F11" s="5" t="n">
        <v>6</v>
      </c>
    </row>
    <row r="12" customFormat="false" ht="13.8" hidden="false" customHeight="false" outlineLevel="0" collapsed="false">
      <c r="A12" s="5" t="s">
        <v>87</v>
      </c>
      <c r="B12" s="0" t="s">
        <v>272</v>
      </c>
      <c r="C12" s="5" t="n">
        <v>6</v>
      </c>
      <c r="D12" s="5" t="n">
        <v>0</v>
      </c>
      <c r="E12" s="5" t="n">
        <v>6</v>
      </c>
      <c r="F12" s="5" t="n">
        <v>6</v>
      </c>
    </row>
    <row r="13" customFormat="false" ht="13.8" hidden="false" customHeight="false" outlineLevel="0" collapsed="false">
      <c r="A13" s="5" t="s">
        <v>88</v>
      </c>
      <c r="B13" s="0" t="s">
        <v>273</v>
      </c>
      <c r="C13" s="5" t="n">
        <v>6</v>
      </c>
      <c r="D13" s="5" t="n">
        <v>0</v>
      </c>
      <c r="E13" s="5" t="n">
        <v>6</v>
      </c>
      <c r="F13" s="5" t="n">
        <v>6</v>
      </c>
    </row>
    <row r="14" customFormat="false" ht="13.8" hidden="false" customHeight="false" outlineLevel="0" collapsed="false">
      <c r="A14" s="5" t="s">
        <v>89</v>
      </c>
      <c r="B14" s="0" t="s">
        <v>272</v>
      </c>
      <c r="C14" s="5" t="n">
        <v>6</v>
      </c>
      <c r="D14" s="5" t="n">
        <v>0</v>
      </c>
      <c r="E14" s="5" t="n">
        <v>6</v>
      </c>
      <c r="F14" s="5" t="n">
        <v>6</v>
      </c>
    </row>
    <row r="15" customFormat="false" ht="13.8" hidden="false" customHeight="false" outlineLevel="0" collapsed="false">
      <c r="A15" s="5" t="s">
        <v>91</v>
      </c>
      <c r="B15" s="0" t="s">
        <v>274</v>
      </c>
      <c r="C15" s="5" t="n">
        <v>6</v>
      </c>
      <c r="D15" s="5" t="n">
        <v>0</v>
      </c>
      <c r="E15" s="5" t="n">
        <v>6</v>
      </c>
      <c r="F15" s="5" t="n">
        <v>6</v>
      </c>
    </row>
    <row r="16" customFormat="false" ht="13.8" hidden="false" customHeight="false" outlineLevel="0" collapsed="false">
      <c r="A16" s="5" t="s">
        <v>93</v>
      </c>
      <c r="B16" s="0" t="s">
        <v>275</v>
      </c>
      <c r="C16" s="5" t="n">
        <v>6</v>
      </c>
      <c r="D16" s="5" t="n">
        <v>0</v>
      </c>
      <c r="E16" s="5" t="n">
        <v>6</v>
      </c>
      <c r="F16" s="5" t="n">
        <v>6</v>
      </c>
    </row>
    <row r="17" customFormat="false" ht="13.8" hidden="false" customHeight="false" outlineLevel="0" collapsed="false">
      <c r="A17" s="5" t="s">
        <v>95</v>
      </c>
      <c r="B17" s="0" t="s">
        <v>276</v>
      </c>
      <c r="C17" s="5" t="n">
        <v>6</v>
      </c>
      <c r="D17" s="5" t="n">
        <v>0</v>
      </c>
      <c r="E17" s="5" t="n">
        <v>6</v>
      </c>
      <c r="F17" s="5" t="n">
        <v>6</v>
      </c>
    </row>
    <row r="18" customFormat="false" ht="13.8" hidden="false" customHeight="false" outlineLevel="0" collapsed="false">
      <c r="A18" s="5" t="s">
        <v>97</v>
      </c>
      <c r="B18" s="0" t="s">
        <v>277</v>
      </c>
      <c r="C18" s="5" t="n">
        <v>6</v>
      </c>
      <c r="D18" s="5" t="n">
        <v>0</v>
      </c>
      <c r="E18" s="5" t="n">
        <v>6</v>
      </c>
      <c r="F18" s="5" t="n">
        <v>6</v>
      </c>
    </row>
    <row r="19" customFormat="false" ht="13.8" hidden="false" customHeight="false" outlineLevel="0" collapsed="false">
      <c r="A19" s="5" t="s">
        <v>99</v>
      </c>
      <c r="B19" s="0" t="s">
        <v>278</v>
      </c>
      <c r="C19" s="5" t="n">
        <v>4</v>
      </c>
      <c r="D19" s="5" t="n">
        <v>0</v>
      </c>
      <c r="E19" s="5" t="n">
        <v>4</v>
      </c>
      <c r="F19" s="5" t="n">
        <v>4</v>
      </c>
    </row>
    <row r="21" customFormat="false" ht="13.8" hidden="false" customHeight="false" outlineLevel="0" collapsed="false">
      <c r="B21" s="6" t="s">
        <v>101</v>
      </c>
      <c r="C21" s="12" t="n">
        <f aca="false">SUM(C5:C19)</f>
        <v>81</v>
      </c>
      <c r="D21" s="12" t="n">
        <f aca="false">SUM(D5:D19)</f>
        <v>1</v>
      </c>
      <c r="E21" s="12" t="n">
        <f aca="false">SUM(E5:E19)</f>
        <v>80</v>
      </c>
      <c r="F21" s="12" t="n">
        <f aca="false">SUM(F5:F19)</f>
        <v>80</v>
      </c>
    </row>
    <row r="22" customFormat="false" ht="13.8" hidden="false" customHeight="false" outlineLevel="0" collapsed="false">
      <c r="B22" s="6" t="s">
        <v>102</v>
      </c>
      <c r="C22" s="13"/>
      <c r="D22" s="13" t="n">
        <f aca="false">D21/C21*100</f>
        <v>1.23456790123457</v>
      </c>
      <c r="E22" s="13" t="n">
        <f aca="false">E21/C21*100</f>
        <v>98.7654320987654</v>
      </c>
      <c r="F22" s="13" t="n">
        <f aca="false">F21/D21*100</f>
        <v>8000</v>
      </c>
    </row>
    <row r="29" customFormat="false" ht="13.8" hidden="false" customHeight="false" outlineLevel="0" collapsed="false">
      <c r="A29" s="9" t="s">
        <v>5</v>
      </c>
      <c r="B29" s="9" t="s">
        <v>103</v>
      </c>
      <c r="C29" s="9" t="s">
        <v>264</v>
      </c>
      <c r="D29" s="9" t="s">
        <v>65</v>
      </c>
      <c r="E29" s="9" t="s">
        <v>66</v>
      </c>
      <c r="F29" s="9" t="s">
        <v>67</v>
      </c>
    </row>
    <row r="30" customFormat="false" ht="13.8" hidden="false" customHeight="false" outlineLevel="0" collapsed="false">
      <c r="A30" s="5" t="s">
        <v>68</v>
      </c>
      <c r="B30" s="0" t="s">
        <v>279</v>
      </c>
      <c r="C30" s="5" t="n">
        <v>6</v>
      </c>
      <c r="D30" s="5" t="n">
        <v>1</v>
      </c>
      <c r="E30" s="5" t="n">
        <v>5</v>
      </c>
      <c r="F30" s="5" t="n">
        <v>6</v>
      </c>
    </row>
    <row r="31" customFormat="false" ht="13.8" hidden="false" customHeight="false" outlineLevel="0" collapsed="false">
      <c r="A31" s="5" t="s">
        <v>70</v>
      </c>
      <c r="B31" s="0" t="s">
        <v>280</v>
      </c>
      <c r="C31" s="5" t="n">
        <v>6</v>
      </c>
      <c r="D31" s="5" t="n">
        <v>0</v>
      </c>
      <c r="E31" s="5" t="n">
        <v>6</v>
      </c>
      <c r="F31" s="5" t="n">
        <v>6</v>
      </c>
    </row>
    <row r="32" customFormat="false" ht="13.8" hidden="false" customHeight="false" outlineLevel="0" collapsed="false">
      <c r="A32" s="5" t="s">
        <v>72</v>
      </c>
      <c r="B32" s="0" t="s">
        <v>281</v>
      </c>
      <c r="C32" s="5" t="n">
        <v>4</v>
      </c>
      <c r="D32" s="5" t="n">
        <v>0</v>
      </c>
      <c r="E32" s="5" t="n">
        <v>3</v>
      </c>
      <c r="F32" s="5" t="n">
        <v>3</v>
      </c>
    </row>
    <row r="33" customFormat="false" ht="13.8" hidden="false" customHeight="false" outlineLevel="0" collapsed="false">
      <c r="A33" s="5" t="s">
        <v>74</v>
      </c>
      <c r="B33" s="0" t="s">
        <v>282</v>
      </c>
      <c r="C33" s="5" t="n">
        <v>3</v>
      </c>
      <c r="D33" s="5" t="n">
        <v>2</v>
      </c>
      <c r="E33" s="5" t="n">
        <v>1</v>
      </c>
      <c r="F33" s="5" t="n">
        <v>6</v>
      </c>
    </row>
    <row r="34" customFormat="false" ht="13.8" hidden="false" customHeight="false" outlineLevel="0" collapsed="false">
      <c r="A34" s="5" t="s">
        <v>77</v>
      </c>
      <c r="B34" s="0" t="s">
        <v>283</v>
      </c>
      <c r="C34" s="5" t="n">
        <v>3</v>
      </c>
      <c r="D34" s="5" t="n">
        <v>1</v>
      </c>
      <c r="E34" s="5" t="n">
        <v>2</v>
      </c>
      <c r="F34" s="5" t="n">
        <v>3</v>
      </c>
    </row>
    <row r="35" customFormat="false" ht="13.8" hidden="false" customHeight="false" outlineLevel="0" collapsed="false">
      <c r="A35" s="5" t="s">
        <v>81</v>
      </c>
      <c r="B35" s="0" t="s">
        <v>284</v>
      </c>
      <c r="C35" s="5" t="n">
        <v>3</v>
      </c>
      <c r="D35" s="5" t="n">
        <v>1</v>
      </c>
      <c r="E35" s="5" t="n">
        <v>2</v>
      </c>
      <c r="F35" s="5" t="n">
        <v>3</v>
      </c>
    </row>
    <row r="36" customFormat="false" ht="13.8" hidden="false" customHeight="false" outlineLevel="0" collapsed="false">
      <c r="A36" s="5" t="s">
        <v>85</v>
      </c>
      <c r="B36" s="0" t="s">
        <v>285</v>
      </c>
      <c r="C36" s="5" t="n">
        <v>6</v>
      </c>
      <c r="D36" s="5" t="n">
        <v>1</v>
      </c>
      <c r="E36" s="5" t="n">
        <v>5</v>
      </c>
      <c r="F36" s="5" t="n">
        <v>6</v>
      </c>
    </row>
    <row r="37" customFormat="false" ht="13.8" hidden="false" customHeight="false" outlineLevel="0" collapsed="false">
      <c r="A37" s="5" t="s">
        <v>87</v>
      </c>
      <c r="B37" s="0" t="s">
        <v>286</v>
      </c>
      <c r="C37" s="5" t="n">
        <v>6</v>
      </c>
      <c r="D37" s="5" t="n">
        <v>1</v>
      </c>
      <c r="E37" s="5" t="n">
        <v>5</v>
      </c>
      <c r="F37" s="5" t="n">
        <v>6</v>
      </c>
    </row>
    <row r="38" customFormat="false" ht="13.8" hidden="false" customHeight="false" outlineLevel="0" collapsed="false">
      <c r="A38" s="5" t="s">
        <v>88</v>
      </c>
      <c r="B38" s="0" t="s">
        <v>287</v>
      </c>
      <c r="C38" s="5" t="n">
        <v>6</v>
      </c>
      <c r="D38" s="5" t="n">
        <v>1</v>
      </c>
      <c r="E38" s="5" t="n">
        <v>5</v>
      </c>
      <c r="F38" s="5" t="n">
        <v>6</v>
      </c>
    </row>
    <row r="39" customFormat="false" ht="13.8" hidden="false" customHeight="false" outlineLevel="0" collapsed="false">
      <c r="A39" s="5" t="s">
        <v>89</v>
      </c>
      <c r="B39" s="0" t="s">
        <v>288</v>
      </c>
      <c r="C39" s="5" t="n">
        <v>6</v>
      </c>
      <c r="D39" s="5" t="n">
        <v>0</v>
      </c>
      <c r="E39" s="5" t="n">
        <v>6</v>
      </c>
      <c r="F39" s="5" t="n">
        <v>6</v>
      </c>
    </row>
    <row r="40" customFormat="false" ht="13.8" hidden="false" customHeight="false" outlineLevel="0" collapsed="false">
      <c r="A40" s="5" t="s">
        <v>91</v>
      </c>
      <c r="B40" s="0" t="s">
        <v>285</v>
      </c>
      <c r="C40" s="5" t="n">
        <v>6</v>
      </c>
      <c r="D40" s="5" t="n">
        <v>1</v>
      </c>
      <c r="E40" s="5" t="n">
        <v>5</v>
      </c>
      <c r="F40" s="5" t="n">
        <v>6</v>
      </c>
    </row>
    <row r="41" customFormat="false" ht="13.8" hidden="false" customHeight="false" outlineLevel="0" collapsed="false">
      <c r="A41" s="5" t="s">
        <v>93</v>
      </c>
      <c r="B41" s="0" t="s">
        <v>289</v>
      </c>
      <c r="C41" s="5" t="n">
        <v>4</v>
      </c>
      <c r="D41" s="5" t="n">
        <v>1</v>
      </c>
      <c r="E41" s="5" t="n">
        <v>3</v>
      </c>
      <c r="F41" s="5" t="n">
        <v>6</v>
      </c>
    </row>
    <row r="42" customFormat="false" ht="13.8" hidden="false" customHeight="false" outlineLevel="0" collapsed="false">
      <c r="A42" s="5" t="s">
        <v>95</v>
      </c>
      <c r="B42" s="0" t="s">
        <v>290</v>
      </c>
      <c r="C42" s="5" t="n">
        <v>3</v>
      </c>
      <c r="D42" s="5" t="n">
        <v>0</v>
      </c>
      <c r="E42" s="5" t="n">
        <v>3</v>
      </c>
      <c r="F42" s="5" t="n">
        <v>6</v>
      </c>
    </row>
    <row r="43" customFormat="false" ht="13.8" hidden="false" customHeight="false" outlineLevel="0" collapsed="false">
      <c r="A43" s="5" t="s">
        <v>97</v>
      </c>
      <c r="B43" s="0" t="s">
        <v>291</v>
      </c>
      <c r="C43" s="5" t="n">
        <v>6</v>
      </c>
      <c r="D43" s="5" t="n">
        <v>0</v>
      </c>
      <c r="E43" s="5" t="n">
        <v>6</v>
      </c>
      <c r="F43" s="5" t="n">
        <v>6</v>
      </c>
    </row>
    <row r="44" customFormat="false" ht="13.8" hidden="false" customHeight="false" outlineLevel="0" collapsed="false">
      <c r="A44" s="5" t="s">
        <v>99</v>
      </c>
      <c r="B44" s="0" t="s">
        <v>292</v>
      </c>
      <c r="C44" s="5" t="n">
        <v>6</v>
      </c>
      <c r="D44" s="5" t="n">
        <v>3</v>
      </c>
      <c r="E44" s="5" t="n">
        <v>6</v>
      </c>
      <c r="F44" s="5" t="n">
        <v>6</v>
      </c>
    </row>
    <row r="46" customFormat="false" ht="13.8" hidden="false" customHeight="false" outlineLevel="0" collapsed="false">
      <c r="B46" s="6" t="s">
        <v>101</v>
      </c>
      <c r="C46" s="12" t="n">
        <f aca="false">SUM(C30:C44)</f>
        <v>74</v>
      </c>
      <c r="D46" s="12" t="n">
        <f aca="false">SUM(D30:D44)</f>
        <v>13</v>
      </c>
      <c r="E46" s="12" t="n">
        <f aca="false">SUM(E30:E44)</f>
        <v>63</v>
      </c>
      <c r="F46" s="12" t="n">
        <f aca="false">SUM(F30:F44)</f>
        <v>81</v>
      </c>
    </row>
    <row r="47" customFormat="false" ht="13.8" hidden="false" customHeight="false" outlineLevel="0" collapsed="false">
      <c r="B47" s="6" t="s">
        <v>102</v>
      </c>
      <c r="C47" s="13"/>
      <c r="D47" s="13" t="n">
        <f aca="false">D46/C46*100</f>
        <v>17.5675675675676</v>
      </c>
      <c r="E47" s="13" t="n">
        <f aca="false">E46/F46*100</f>
        <v>77.7777777777778</v>
      </c>
      <c r="F47" s="13"/>
    </row>
  </sheetData>
  <mergeCells count="2">
    <mergeCell ref="J7:K7"/>
    <mergeCell ref="L7:M7"/>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82"/>
  <sheetViews>
    <sheetView showFormulas="false" showGridLines="true" showRowColHeaders="true" showZeros="true" rightToLeft="false" tabSelected="true" showOutlineSymbols="true" defaultGridColor="true" view="normal" topLeftCell="A19" colorId="64" zoomScale="81" zoomScaleNormal="81" zoomScalePageLayoutView="100" workbookViewId="0">
      <selection pane="topLeft" activeCell="G82" activeCellId="0" sqref="G82"/>
    </sheetView>
  </sheetViews>
  <sheetFormatPr defaultColWidth="10.58203125" defaultRowHeight="13.8" zeroHeight="false" outlineLevelRow="0" outlineLevelCol="0"/>
  <cols>
    <col collapsed="false" customWidth="true" hidden="false" outlineLevel="0" max="1" min="1" style="0" width="23.33"/>
    <col collapsed="false" customWidth="true" hidden="false" outlineLevel="0" max="2" min="2" style="0" width="36.11"/>
    <col collapsed="false" customWidth="true" hidden="false" outlineLevel="0" max="3" min="3" style="0" width="80.89"/>
    <col collapsed="false" customWidth="true" hidden="false" outlineLevel="0" max="4" min="4" style="0" width="38.88"/>
    <col collapsed="false" customWidth="true" hidden="false" outlineLevel="0" max="7" min="6" style="0" width="26.94"/>
  </cols>
  <sheetData>
    <row r="1" customFormat="false" ht="13.8" hidden="false" customHeight="false" outlineLevel="0" collapsed="false">
      <c r="A1" s="8" t="s">
        <v>57</v>
      </c>
      <c r="B1" s="8" t="s">
        <v>119</v>
      </c>
      <c r="C1" s="8" t="s">
        <v>120</v>
      </c>
      <c r="D1" s="8" t="s">
        <v>58</v>
      </c>
      <c r="E1" s="8" t="s">
        <v>59</v>
      </c>
    </row>
    <row r="2" customFormat="false" ht="13.8" hidden="false" customHeight="false" outlineLevel="0" collapsed="false">
      <c r="A2" s="1" t="s">
        <v>293</v>
      </c>
    </row>
    <row r="3" customFormat="false" ht="13.8" hidden="false" customHeight="false" outlineLevel="0" collapsed="false">
      <c r="A3" s="1" t="s">
        <v>5</v>
      </c>
      <c r="B3" s="1" t="s">
        <v>122</v>
      </c>
      <c r="C3" s="1" t="s">
        <v>123</v>
      </c>
    </row>
    <row r="4" customFormat="false" ht="13.8" hidden="false" customHeight="false" outlineLevel="0" collapsed="false">
      <c r="A4" s="0" t="s">
        <v>68</v>
      </c>
      <c r="B4" s="1" t="s">
        <v>124</v>
      </c>
      <c r="C4" s="0" t="s">
        <v>294</v>
      </c>
    </row>
    <row r="5" customFormat="false" ht="13.8" hidden="false" customHeight="false" outlineLevel="0" collapsed="false">
      <c r="A5" s="0" t="s">
        <v>68</v>
      </c>
      <c r="B5" s="1" t="s">
        <v>126</v>
      </c>
      <c r="C5" s="0" t="n">
        <v>3</v>
      </c>
    </row>
    <row r="6" customFormat="false" ht="13.8" hidden="false" customHeight="false" outlineLevel="0" collapsed="false">
      <c r="A6" s="0" t="s">
        <v>68</v>
      </c>
      <c r="B6" s="1" t="s">
        <v>127</v>
      </c>
      <c r="C6" s="0" t="n">
        <v>0</v>
      </c>
    </row>
    <row r="7" customFormat="false" ht="13.8" hidden="false" customHeight="false" outlineLevel="0" collapsed="false">
      <c r="A7" s="0" t="s">
        <v>68</v>
      </c>
      <c r="B7" s="1" t="s">
        <v>128</v>
      </c>
      <c r="C7" s="0" t="n">
        <v>3</v>
      </c>
    </row>
    <row r="8" customFormat="false" ht="13.8" hidden="false" customHeight="false" outlineLevel="0" collapsed="false">
      <c r="B8" s="1"/>
    </row>
    <row r="9" customFormat="false" ht="13.8" hidden="false" customHeight="false" outlineLevel="0" collapsed="false">
      <c r="A9" s="0" t="s">
        <v>70</v>
      </c>
      <c r="B9" s="1" t="s">
        <v>124</v>
      </c>
      <c r="C9" s="0" t="s">
        <v>295</v>
      </c>
    </row>
    <row r="10" customFormat="false" ht="13.8" hidden="false" customHeight="false" outlineLevel="0" collapsed="false">
      <c r="A10" s="0" t="s">
        <v>70</v>
      </c>
      <c r="B10" s="1" t="s">
        <v>126</v>
      </c>
      <c r="C10" s="0" t="n">
        <v>3</v>
      </c>
    </row>
    <row r="11" customFormat="false" ht="13.8" hidden="false" customHeight="false" outlineLevel="0" collapsed="false">
      <c r="A11" s="0" t="s">
        <v>70</v>
      </c>
      <c r="B11" s="1" t="s">
        <v>127</v>
      </c>
      <c r="C11" s="0" t="n">
        <v>0</v>
      </c>
    </row>
    <row r="12" customFormat="false" ht="13.8" hidden="false" customHeight="false" outlineLevel="0" collapsed="false">
      <c r="A12" s="0" t="s">
        <v>70</v>
      </c>
      <c r="B12" s="1" t="s">
        <v>128</v>
      </c>
      <c r="C12" s="0" t="n">
        <v>3</v>
      </c>
    </row>
    <row r="13" customFormat="false" ht="13.8" hidden="false" customHeight="false" outlineLevel="0" collapsed="false">
      <c r="B13" s="1"/>
    </row>
    <row r="14" customFormat="false" ht="13.8" hidden="false" customHeight="false" outlineLevel="0" collapsed="false">
      <c r="A14" s="0" t="s">
        <v>72</v>
      </c>
      <c r="B14" s="1" t="s">
        <v>124</v>
      </c>
      <c r="C14" s="0" t="s">
        <v>295</v>
      </c>
    </row>
    <row r="15" customFormat="false" ht="13.8" hidden="false" customHeight="false" outlineLevel="0" collapsed="false">
      <c r="A15" s="0" t="s">
        <v>72</v>
      </c>
      <c r="B15" s="1" t="s">
        <v>126</v>
      </c>
      <c r="C15" s="0" t="n">
        <v>3</v>
      </c>
    </row>
    <row r="16" customFormat="false" ht="13.8" hidden="false" customHeight="false" outlineLevel="0" collapsed="false">
      <c r="A16" s="0" t="s">
        <v>72</v>
      </c>
      <c r="B16" s="1" t="s">
        <v>127</v>
      </c>
      <c r="C16" s="0" t="n">
        <v>0</v>
      </c>
    </row>
    <row r="17" customFormat="false" ht="13.8" hidden="false" customHeight="false" outlineLevel="0" collapsed="false">
      <c r="A17" s="0" t="s">
        <v>72</v>
      </c>
      <c r="B17" s="1" t="s">
        <v>128</v>
      </c>
      <c r="C17" s="0" t="n">
        <v>3</v>
      </c>
    </row>
    <row r="18" customFormat="false" ht="13.8" hidden="false" customHeight="false" outlineLevel="0" collapsed="false">
      <c r="B18" s="1"/>
    </row>
    <row r="19" customFormat="false" ht="13.8" hidden="false" customHeight="false" outlineLevel="0" collapsed="false">
      <c r="A19" s="0" t="s">
        <v>74</v>
      </c>
      <c r="B19" s="1" t="s">
        <v>124</v>
      </c>
      <c r="C19" s="0" t="s">
        <v>296</v>
      </c>
    </row>
    <row r="20" customFormat="false" ht="13.8" hidden="false" customHeight="false" outlineLevel="0" collapsed="false">
      <c r="A20" s="0" t="s">
        <v>74</v>
      </c>
      <c r="B20" s="1" t="s">
        <v>126</v>
      </c>
      <c r="C20" s="0" t="n">
        <v>6</v>
      </c>
    </row>
    <row r="21" customFormat="false" ht="13.8" hidden="false" customHeight="false" outlineLevel="0" collapsed="false">
      <c r="A21" s="0" t="s">
        <v>74</v>
      </c>
      <c r="B21" s="1" t="s">
        <v>127</v>
      </c>
      <c r="C21" s="0" t="n">
        <v>0</v>
      </c>
    </row>
    <row r="22" customFormat="false" ht="13.8" hidden="false" customHeight="false" outlineLevel="0" collapsed="false">
      <c r="A22" s="0" t="s">
        <v>74</v>
      </c>
      <c r="B22" s="1" t="s">
        <v>128</v>
      </c>
      <c r="C22" s="0" t="n">
        <v>6</v>
      </c>
    </row>
    <row r="23" customFormat="false" ht="13.8" hidden="false" customHeight="false" outlineLevel="0" collapsed="false">
      <c r="B23" s="1"/>
    </row>
    <row r="24" customFormat="false" ht="13.8" hidden="false" customHeight="false" outlineLevel="0" collapsed="false">
      <c r="A24" s="0" t="s">
        <v>77</v>
      </c>
      <c r="B24" s="1" t="s">
        <v>124</v>
      </c>
      <c r="C24" s="0" t="s">
        <v>297</v>
      </c>
    </row>
    <row r="25" customFormat="false" ht="13.8" hidden="false" customHeight="false" outlineLevel="0" collapsed="false">
      <c r="A25" s="0" t="s">
        <v>77</v>
      </c>
      <c r="B25" s="1" t="s">
        <v>126</v>
      </c>
      <c r="C25" s="0" t="n">
        <v>6</v>
      </c>
    </row>
    <row r="26" customFormat="false" ht="13.8" hidden="false" customHeight="false" outlineLevel="0" collapsed="false">
      <c r="A26" s="0" t="s">
        <v>77</v>
      </c>
      <c r="B26" s="1" t="s">
        <v>127</v>
      </c>
      <c r="C26" s="0" t="n">
        <v>0</v>
      </c>
    </row>
    <row r="27" customFormat="false" ht="13.8" hidden="false" customHeight="false" outlineLevel="0" collapsed="false">
      <c r="A27" s="0" t="s">
        <v>77</v>
      </c>
      <c r="B27" s="1" t="s">
        <v>128</v>
      </c>
      <c r="C27" s="0" t="n">
        <v>6</v>
      </c>
    </row>
    <row r="28" customFormat="false" ht="13.8" hidden="false" customHeight="false" outlineLevel="0" collapsed="false">
      <c r="B28" s="1"/>
    </row>
    <row r="29" customFormat="false" ht="13.8" hidden="false" customHeight="false" outlineLevel="0" collapsed="false">
      <c r="A29" s="0" t="s">
        <v>81</v>
      </c>
      <c r="B29" s="1" t="s">
        <v>124</v>
      </c>
      <c r="C29" s="0" t="s">
        <v>298</v>
      </c>
    </row>
    <row r="30" customFormat="false" ht="13.8" hidden="false" customHeight="false" outlineLevel="0" collapsed="false">
      <c r="A30" s="0" t="s">
        <v>81</v>
      </c>
      <c r="B30" s="1" t="s">
        <v>126</v>
      </c>
      <c r="C30" s="0" t="n">
        <v>7</v>
      </c>
    </row>
    <row r="31" customFormat="false" ht="13.8" hidden="false" customHeight="false" outlineLevel="0" collapsed="false">
      <c r="A31" s="0" t="s">
        <v>81</v>
      </c>
      <c r="B31" s="1" t="s">
        <v>127</v>
      </c>
      <c r="C31" s="0" t="n">
        <v>3</v>
      </c>
    </row>
    <row r="32" customFormat="false" ht="13.8" hidden="false" customHeight="false" outlineLevel="0" collapsed="false">
      <c r="A32" s="0" t="s">
        <v>81</v>
      </c>
      <c r="B32" s="1" t="s">
        <v>128</v>
      </c>
      <c r="C32" s="0" t="n">
        <v>4</v>
      </c>
    </row>
    <row r="33" customFormat="false" ht="13.8" hidden="false" customHeight="false" outlineLevel="0" collapsed="false">
      <c r="B33" s="1"/>
    </row>
    <row r="34" customFormat="false" ht="13.8" hidden="false" customHeight="false" outlineLevel="0" collapsed="false">
      <c r="A34" s="0" t="s">
        <v>85</v>
      </c>
      <c r="B34" s="1" t="s">
        <v>124</v>
      </c>
      <c r="C34" s="0" t="s">
        <v>299</v>
      </c>
    </row>
    <row r="35" customFormat="false" ht="13.8" hidden="false" customHeight="false" outlineLevel="0" collapsed="false">
      <c r="A35" s="0" t="s">
        <v>85</v>
      </c>
      <c r="B35" s="1" t="s">
        <v>126</v>
      </c>
      <c r="C35" s="0" t="n">
        <v>6</v>
      </c>
    </row>
    <row r="36" customFormat="false" ht="13.8" hidden="false" customHeight="false" outlineLevel="0" collapsed="false">
      <c r="A36" s="0" t="s">
        <v>85</v>
      </c>
      <c r="B36" s="1" t="s">
        <v>127</v>
      </c>
      <c r="C36" s="0" t="n">
        <v>0</v>
      </c>
    </row>
    <row r="37" customFormat="false" ht="13.8" hidden="false" customHeight="false" outlineLevel="0" collapsed="false">
      <c r="A37" s="0" t="s">
        <v>85</v>
      </c>
      <c r="B37" s="1" t="s">
        <v>128</v>
      </c>
      <c r="C37" s="0" t="n">
        <v>6</v>
      </c>
    </row>
    <row r="38" customFormat="false" ht="13.8" hidden="false" customHeight="false" outlineLevel="0" collapsed="false">
      <c r="B38" s="1"/>
    </row>
    <row r="39" customFormat="false" ht="13.8" hidden="false" customHeight="false" outlineLevel="0" collapsed="false">
      <c r="A39" s="0" t="s">
        <v>87</v>
      </c>
      <c r="B39" s="1" t="s">
        <v>124</v>
      </c>
      <c r="C39" s="0" t="s">
        <v>300</v>
      </c>
    </row>
    <row r="40" customFormat="false" ht="13.8" hidden="false" customHeight="false" outlineLevel="0" collapsed="false">
      <c r="A40" s="0" t="s">
        <v>87</v>
      </c>
      <c r="B40" s="1" t="s">
        <v>126</v>
      </c>
      <c r="C40" s="0" t="n">
        <v>6</v>
      </c>
    </row>
    <row r="41" customFormat="false" ht="13.8" hidden="false" customHeight="false" outlineLevel="0" collapsed="false">
      <c r="A41" s="0" t="s">
        <v>87</v>
      </c>
      <c r="B41" s="1" t="s">
        <v>127</v>
      </c>
      <c r="C41" s="0" t="n">
        <v>3</v>
      </c>
    </row>
    <row r="42" customFormat="false" ht="13.8" hidden="false" customHeight="false" outlineLevel="0" collapsed="false">
      <c r="A42" s="0" t="s">
        <v>87</v>
      </c>
      <c r="B42" s="1" t="s">
        <v>128</v>
      </c>
      <c r="C42" s="0" t="n">
        <v>3</v>
      </c>
    </row>
    <row r="43" customFormat="false" ht="13.8" hidden="false" customHeight="false" outlineLevel="0" collapsed="false">
      <c r="B43" s="1"/>
    </row>
    <row r="44" customFormat="false" ht="13.8" hidden="false" customHeight="false" outlineLevel="0" collapsed="false">
      <c r="A44" s="0" t="s">
        <v>88</v>
      </c>
      <c r="B44" s="1" t="s">
        <v>124</v>
      </c>
      <c r="C44" s="0" t="s">
        <v>301</v>
      </c>
    </row>
    <row r="45" customFormat="false" ht="13.8" hidden="false" customHeight="false" outlineLevel="0" collapsed="false">
      <c r="A45" s="0" t="s">
        <v>88</v>
      </c>
      <c r="B45" s="1" t="s">
        <v>126</v>
      </c>
      <c r="C45" s="0" t="n">
        <v>6</v>
      </c>
    </row>
    <row r="46" customFormat="false" ht="13.8" hidden="false" customHeight="false" outlineLevel="0" collapsed="false">
      <c r="A46" s="0" t="s">
        <v>88</v>
      </c>
      <c r="B46" s="1" t="s">
        <v>127</v>
      </c>
      <c r="C46" s="0" t="n">
        <v>0</v>
      </c>
    </row>
    <row r="47" customFormat="false" ht="13.8" hidden="false" customHeight="false" outlineLevel="0" collapsed="false">
      <c r="A47" s="0" t="s">
        <v>88</v>
      </c>
      <c r="B47" s="1" t="s">
        <v>128</v>
      </c>
      <c r="C47" s="0" t="n">
        <v>6</v>
      </c>
    </row>
    <row r="48" customFormat="false" ht="13.8" hidden="false" customHeight="false" outlineLevel="0" collapsed="false">
      <c r="B48" s="1"/>
    </row>
    <row r="49" customFormat="false" ht="13.8" hidden="false" customHeight="false" outlineLevel="0" collapsed="false">
      <c r="A49" s="0" t="s">
        <v>89</v>
      </c>
      <c r="B49" s="1" t="s">
        <v>302</v>
      </c>
      <c r="C49" s="0" t="s">
        <v>301</v>
      </c>
    </row>
    <row r="50" customFormat="false" ht="13.8" hidden="false" customHeight="false" outlineLevel="0" collapsed="false">
      <c r="A50" s="0" t="s">
        <v>89</v>
      </c>
      <c r="B50" s="1" t="s">
        <v>126</v>
      </c>
      <c r="C50" s="0" t="n">
        <v>6</v>
      </c>
    </row>
    <row r="51" customFormat="false" ht="13.8" hidden="false" customHeight="false" outlineLevel="0" collapsed="false">
      <c r="A51" s="0" t="s">
        <v>89</v>
      </c>
      <c r="B51" s="1" t="s">
        <v>127</v>
      </c>
      <c r="C51" s="0" t="n">
        <v>0</v>
      </c>
    </row>
    <row r="52" customFormat="false" ht="13.8" hidden="false" customHeight="false" outlineLevel="0" collapsed="false">
      <c r="A52" s="0" t="s">
        <v>89</v>
      </c>
      <c r="B52" s="1" t="s">
        <v>128</v>
      </c>
      <c r="C52" s="0" t="n">
        <v>6</v>
      </c>
    </row>
    <row r="53" customFormat="false" ht="13.8" hidden="false" customHeight="false" outlineLevel="0" collapsed="false">
      <c r="B53" s="1"/>
    </row>
    <row r="54" customFormat="false" ht="13.8" hidden="false" customHeight="false" outlineLevel="0" collapsed="false">
      <c r="A54" s="0" t="s">
        <v>91</v>
      </c>
      <c r="B54" s="1" t="s">
        <v>124</v>
      </c>
      <c r="C54" s="0" t="s">
        <v>303</v>
      </c>
    </row>
    <row r="55" customFormat="false" ht="13.8" hidden="false" customHeight="false" outlineLevel="0" collapsed="false">
      <c r="A55" s="0" t="s">
        <v>91</v>
      </c>
      <c r="B55" s="1" t="s">
        <v>126</v>
      </c>
      <c r="C55" s="0" t="n">
        <v>6</v>
      </c>
    </row>
    <row r="56" customFormat="false" ht="13.8" hidden="false" customHeight="false" outlineLevel="0" collapsed="false">
      <c r="A56" s="0" t="s">
        <v>91</v>
      </c>
      <c r="B56" s="1" t="s">
        <v>127</v>
      </c>
      <c r="C56" s="0" t="n">
        <v>3</v>
      </c>
    </row>
    <row r="57" customFormat="false" ht="13.8" hidden="false" customHeight="false" outlineLevel="0" collapsed="false">
      <c r="A57" s="0" t="s">
        <v>91</v>
      </c>
      <c r="B57" s="1" t="s">
        <v>128</v>
      </c>
      <c r="C57" s="0" t="n">
        <v>3</v>
      </c>
    </row>
    <row r="58" customFormat="false" ht="13.8" hidden="false" customHeight="false" outlineLevel="0" collapsed="false">
      <c r="B58" s="1"/>
    </row>
    <row r="59" customFormat="false" ht="13.8" hidden="false" customHeight="false" outlineLevel="0" collapsed="false">
      <c r="A59" s="0" t="s">
        <v>93</v>
      </c>
      <c r="B59" s="1" t="s">
        <v>124</v>
      </c>
      <c r="C59" s="0" t="s">
        <v>296</v>
      </c>
    </row>
    <row r="60" customFormat="false" ht="13.8" hidden="false" customHeight="false" outlineLevel="0" collapsed="false">
      <c r="A60" s="0" t="s">
        <v>93</v>
      </c>
      <c r="B60" s="1" t="s">
        <v>126</v>
      </c>
      <c r="C60" s="0" t="n">
        <v>6</v>
      </c>
    </row>
    <row r="61" customFormat="false" ht="13.8" hidden="false" customHeight="false" outlineLevel="0" collapsed="false">
      <c r="A61" s="0" t="s">
        <v>93</v>
      </c>
      <c r="B61" s="1" t="s">
        <v>127</v>
      </c>
      <c r="C61" s="0" t="n">
        <v>0</v>
      </c>
    </row>
    <row r="62" customFormat="false" ht="13.8" hidden="false" customHeight="false" outlineLevel="0" collapsed="false">
      <c r="A62" s="0" t="s">
        <v>93</v>
      </c>
      <c r="B62" s="1" t="s">
        <v>128</v>
      </c>
      <c r="C62" s="0" t="n">
        <v>6</v>
      </c>
    </row>
    <row r="63" customFormat="false" ht="13.8" hidden="false" customHeight="false" outlineLevel="0" collapsed="false">
      <c r="B63" s="1"/>
    </row>
    <row r="64" customFormat="false" ht="13.8" hidden="false" customHeight="false" outlineLevel="0" collapsed="false">
      <c r="A64" s="0" t="s">
        <v>95</v>
      </c>
      <c r="B64" s="1" t="s">
        <v>124</v>
      </c>
      <c r="C64" s="0" t="s">
        <v>304</v>
      </c>
    </row>
    <row r="65" customFormat="false" ht="13.8" hidden="false" customHeight="false" outlineLevel="0" collapsed="false">
      <c r="A65" s="0" t="s">
        <v>95</v>
      </c>
      <c r="B65" s="1" t="s">
        <v>126</v>
      </c>
      <c r="C65" s="0" t="n">
        <v>6</v>
      </c>
    </row>
    <row r="66" customFormat="false" ht="13.8" hidden="false" customHeight="false" outlineLevel="0" collapsed="false">
      <c r="A66" s="0" t="s">
        <v>95</v>
      </c>
      <c r="B66" s="1" t="s">
        <v>127</v>
      </c>
      <c r="C66" s="0" t="n">
        <v>1</v>
      </c>
    </row>
    <row r="67" customFormat="false" ht="13.8" hidden="false" customHeight="false" outlineLevel="0" collapsed="false">
      <c r="A67" s="0" t="s">
        <v>95</v>
      </c>
      <c r="B67" s="1" t="s">
        <v>128</v>
      </c>
      <c r="C67" s="0" t="n">
        <v>5</v>
      </c>
    </row>
    <row r="68" customFormat="false" ht="13.8" hidden="false" customHeight="false" outlineLevel="0" collapsed="false">
      <c r="B68" s="1"/>
    </row>
    <row r="69" customFormat="false" ht="13.8" hidden="false" customHeight="false" outlineLevel="0" collapsed="false">
      <c r="A69" s="0" t="s">
        <v>97</v>
      </c>
      <c r="B69" s="1" t="s">
        <v>124</v>
      </c>
      <c r="C69" s="0" t="s">
        <v>305</v>
      </c>
    </row>
    <row r="70" customFormat="false" ht="13.8" hidden="false" customHeight="false" outlineLevel="0" collapsed="false">
      <c r="A70" s="0" t="s">
        <v>97</v>
      </c>
      <c r="B70" s="1" t="s">
        <v>126</v>
      </c>
      <c r="C70" s="0" t="n">
        <v>6</v>
      </c>
    </row>
    <row r="71" customFormat="false" ht="13.8" hidden="false" customHeight="false" outlineLevel="0" collapsed="false">
      <c r="A71" s="0" t="s">
        <v>97</v>
      </c>
      <c r="B71" s="1" t="s">
        <v>127</v>
      </c>
      <c r="C71" s="0" t="n">
        <v>3</v>
      </c>
    </row>
    <row r="72" customFormat="false" ht="13.8" hidden="false" customHeight="false" outlineLevel="0" collapsed="false">
      <c r="A72" s="0" t="s">
        <v>97</v>
      </c>
      <c r="B72" s="1" t="s">
        <v>128</v>
      </c>
      <c r="C72" s="0" t="n">
        <v>3</v>
      </c>
    </row>
    <row r="73" customFormat="false" ht="13.8" hidden="false" customHeight="false" outlineLevel="0" collapsed="false">
      <c r="B73" s="1"/>
    </row>
    <row r="74" customFormat="false" ht="13.8" hidden="false" customHeight="false" outlineLevel="0" collapsed="false">
      <c r="A74" s="0" t="s">
        <v>99</v>
      </c>
      <c r="B74" s="1" t="s">
        <v>124</v>
      </c>
      <c r="C74" s="0" t="s">
        <v>306</v>
      </c>
    </row>
    <row r="75" customFormat="false" ht="13.8" hidden="false" customHeight="false" outlineLevel="0" collapsed="false">
      <c r="A75" s="0" t="s">
        <v>99</v>
      </c>
      <c r="B75" s="1" t="s">
        <v>126</v>
      </c>
      <c r="C75" s="0" t="n">
        <v>4</v>
      </c>
    </row>
    <row r="76" customFormat="false" ht="13.8" hidden="false" customHeight="false" outlineLevel="0" collapsed="false">
      <c r="A76" s="0" t="s">
        <v>99</v>
      </c>
      <c r="B76" s="1" t="s">
        <v>127</v>
      </c>
      <c r="C76" s="0" t="n">
        <v>1</v>
      </c>
    </row>
    <row r="77" customFormat="false" ht="13.8" hidden="false" customHeight="false" outlineLevel="0" collapsed="false">
      <c r="A77" s="0" t="s">
        <v>99</v>
      </c>
      <c r="B77" s="1" t="s">
        <v>128</v>
      </c>
      <c r="C77" s="0" t="n">
        <v>3</v>
      </c>
    </row>
    <row r="78" customFormat="false" ht="14.7" hidden="false" customHeight="false" outlineLevel="0" collapsed="false">
      <c r="F78" s="10" t="s">
        <v>76</v>
      </c>
      <c r="G78" s="10"/>
    </row>
    <row r="79" customFormat="false" ht="13.8" hidden="false" customHeight="false" outlineLevel="0" collapsed="false">
      <c r="B79" s="6" t="s">
        <v>126</v>
      </c>
      <c r="C79" s="7" t="n">
        <f aca="false">SUM(C5,C10,C15,C20,C25,C30,C35,C40,C45,C50,C55,C60,C65,C70,C75)</f>
        <v>80</v>
      </c>
      <c r="F79" s="11" t="s">
        <v>79</v>
      </c>
      <c r="G79" s="11"/>
    </row>
    <row r="80" customFormat="false" ht="13.8" hidden="false" customHeight="false" outlineLevel="0" collapsed="false">
      <c r="B80" s="6" t="s">
        <v>143</v>
      </c>
      <c r="C80" s="7" t="n">
        <f aca="false">SUM(C6,C11,C16,C21,C26,C31,C36,C41,C46,C51,C56,C61,C66,C71,C76)</f>
        <v>14</v>
      </c>
      <c r="F80" s="0" t="s">
        <v>83</v>
      </c>
      <c r="G80" s="0" t="s">
        <v>84</v>
      </c>
    </row>
    <row r="81" customFormat="false" ht="13.8" hidden="false" customHeight="false" outlineLevel="0" collapsed="false">
      <c r="B81" s="6" t="s">
        <v>144</v>
      </c>
      <c r="C81" s="7" t="n">
        <f aca="false">C79-C80</f>
        <v>66</v>
      </c>
      <c r="F81" s="0" t="n">
        <v>9</v>
      </c>
      <c r="G81" s="0" t="n">
        <v>6</v>
      </c>
    </row>
    <row r="82" customFormat="false" ht="13.8" hidden="false" customHeight="false" outlineLevel="0" collapsed="false">
      <c r="B82" s="6" t="s">
        <v>145</v>
      </c>
      <c r="C82" s="14" t="n">
        <f aca="false">C81/C79*100</f>
        <v>82.5</v>
      </c>
    </row>
  </sheetData>
  <mergeCells count="1">
    <mergeCell ref="F79:G7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31</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2025-07-13T07:00:27Z</dcterms:created>
  <dc:creator>diana cerdas</dc:creator>
  <dc:description/>
  <dc:language>en-US</dc:language>
  <cp:lastModifiedBy/>
  <dcterms:modified xsi:type="dcterms:W3CDTF">2026-03-04T11:22:58Z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